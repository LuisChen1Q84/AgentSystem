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40" yWindow="2800" windowWidth="27300" windowHeight="16360" tabRatio="600" firstSheet="0" activeTab="0" autoFilterDateGrouping="1"/>
  </bookViews>
  <sheets>
    <sheet xmlns:r="http://schemas.openxmlformats.org/officeDocument/2006/relationships" name="2026年2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00_ "/>
  </numFmts>
  <fonts count="8">
    <font>
      <name val="等线"/>
      <charset val="134"/>
      <family val="2"/>
      <color theme="1"/>
      <sz val="12"/>
      <scheme val="minor"/>
    </font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9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center"/>
    </xf>
    <xf numFmtId="40" fontId="7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0" fontId="0" fillId="0" borderId="0" applyAlignment="1" pivotButton="0" quotePrefix="0" xfId="1">
      <alignment vertical="center"/>
    </xf>
    <xf numFmtId="0" fontId="7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4" fontId="3" fillId="6" borderId="0" applyAlignment="1" pivotButton="0" quotePrefix="0" xfId="0">
      <alignment vertical="center"/>
    </xf>
    <xf numFmtId="40" fontId="7" fillId="7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0" fontId="0" fillId="6" borderId="0" applyAlignment="1" pivotButton="0" quotePrefix="0" xfId="1">
      <alignment vertical="center"/>
    </xf>
    <xf numFmtId="0" fontId="7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7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40" fontId="7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40" fontId="7" fillId="0" borderId="0" applyAlignment="1" pivotButton="0" quotePrefix="0" xfId="0">
      <alignment vertical="center"/>
    </xf>
    <xf numFmtId="1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3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" fillId="6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tc={790D1684-A1FC-4340-AB36-20F99BDB9437}</author>
    <author>tc={7CD0D75A-1E96-4A46-8395-A4B7383D368C}</author>
    <author>tc={98A4E442-D9A4-6943-B5F5-E734C8E1016D}</author>
    <author>tc={2EE9D2FD-F5DF-5044-AF80-D09D6F3F6CD1}</author>
    <author>tc={2C0A22F4-EF33-8F4D-8569-37CB06B938D7}</author>
    <author>tc={FC138DD2-A112-BC4E-8F68-ED185FF55439}</author>
  </authors>
  <commentList>
    <comment ref="C34" authorId="0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小微+个体+个人+其他</t>
      </text>
    </comment>
    <comment ref="H34" authorId="1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小微+个体+个人+商家通，不包含其他</t>
      </text>
    </comment>
    <comment ref="I34" authorId="2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小微+个体+个人的4986（已加）</t>
      </text>
    </comment>
    <comment ref="J34" authorId="3" shapeId="0">
      <text>
        <t>[线程批注]
你的Excel版本可读取此线程批注; 但如果在更新版本的Excel中打开文件，则对批注所作的任何改动都将被删除。了解详细信息: https://go.microsoft.com/fwlink/?linkid=870924
注释:
    小微+个体+个人，不包含其他</t>
      </text>
    </comment>
    <comment ref="Y34" authorId="4" shapeId="0">
      <text>
        <t>[线程批注]
你的Excel版本可读取此线程批注; 但如果在更新版本的Excel中打开文件，则对批注所作的任何改动都将被删除。了解详细信息: https://go.microsoft.com/fwlink/?linkid=870924
注释:
    9折个人+商家通，0费无个人，不包含其他，不包含视频号的【个人】
季度数据要加上视频号的【个人】</t>
      </text>
    </comment>
    <comment ref="E39" authorId="5" shapeId="0">
      <text>
        <t>[线程批注]
你的Excel版本可读取此线程批注; 但如果在更新版本的Excel中打开文件，则对批注所作的任何改动都将被删除。了解详细信息: https://go.microsoft.com/fwlink/?linkid=870924
注释:
    报送值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"/>
  <sheetViews>
    <sheetView tabSelected="1" workbookViewId="0">
      <selection activeCell="E38" sqref="E38"/>
    </sheetView>
  </sheetViews>
  <sheetFormatPr baseColWidth="10" defaultColWidth="8.83203125" defaultRowHeight="16"/>
  <cols>
    <col width="20.83203125" customWidth="1" style="44" min="1" max="1"/>
    <col width="15.6640625" customWidth="1" style="44" min="2" max="2"/>
    <col width="16.83203125" customWidth="1" style="44" min="3" max="3"/>
    <col width="23.6640625" customWidth="1" style="44" min="4" max="4"/>
    <col width="15" customWidth="1" style="44" min="5" max="5"/>
    <col width="12.83203125" customWidth="1" style="44" min="6" max="6"/>
    <col width="17.6640625" customWidth="1" style="44" min="7" max="7"/>
    <col width="13.83203125" customWidth="1" style="44" min="8" max="8"/>
    <col width="15.83203125" customWidth="1" style="44" min="9" max="9"/>
    <col width="14.33203125" customWidth="1" style="44" min="10" max="11"/>
    <col width="13.83203125" customWidth="1" style="44" min="12" max="12"/>
    <col width="11.6640625" customWidth="1" style="44" min="13" max="13"/>
    <col width="14.5" customWidth="1" style="44" min="14" max="14"/>
    <col width="10.5" customWidth="1" style="44" min="15" max="16"/>
    <col width="14.33203125" customWidth="1" style="44" min="17" max="17"/>
    <col width="17.1640625" customWidth="1" style="44" min="18" max="18"/>
    <col width="11.33203125" customWidth="1" style="44" min="19" max="19"/>
    <col width="15.6640625" customWidth="1" style="44" min="20" max="20"/>
    <col width="16.33203125" customWidth="1" style="44" min="21" max="21"/>
    <col width="8.33203125" customWidth="1" style="44" min="22" max="22"/>
    <col width="16.33203125" customWidth="1" style="44" min="23" max="23"/>
    <col width="16.1640625" customWidth="1" style="44" min="24" max="24"/>
    <col width="14.6640625" customWidth="1" style="44" min="25" max="28"/>
    <col width="12.33203125" customWidth="1" style="44" min="29" max="29"/>
    <col width="11.6640625" customWidth="1" style="44" min="30" max="30"/>
    <col width="8.83203125" customWidth="1" style="44" min="31" max="32"/>
    <col width="14.33203125" customWidth="1" style="44" min="33" max="33"/>
    <col width="12.33203125" customWidth="1" style="44" min="34" max="34"/>
    <col width="8.83203125" customWidth="1" style="44" min="35" max="16384"/>
  </cols>
  <sheetData>
    <row r="1" ht="85" customHeight="1" s="49">
      <c r="C1" s="8" t="inlineStr">
        <is>
          <t>省份维度逻辑：9折和0费的所有小微企业+个体工商户两类的累积让利金额总和</t>
        </is>
      </c>
      <c r="E1" s="9" t="inlineStr">
        <is>
          <t>计算逻辑：
(C3-B3)+C3</t>
        </is>
      </c>
      <c r="F1" s="9" t="inlineStr">
        <is>
          <t>计算逻辑：
(C5-D5)/C5</t>
        </is>
      </c>
      <c r="I1" s="44" t="inlineStr">
        <is>
          <t>固定不会变化</t>
        </is>
      </c>
      <c r="J1" s="44" t="inlineStr">
        <is>
          <t>固定不会变化</t>
        </is>
      </c>
      <c r="K1" s="44" t="inlineStr">
        <is>
          <t>固定不会变化</t>
        </is>
      </c>
      <c r="O1" s="44" t="inlineStr">
        <is>
          <t>固定不会变化</t>
        </is>
      </c>
      <c r="P1" s="44" t="inlineStr">
        <is>
          <t>固定不会变化</t>
        </is>
      </c>
      <c r="Q1" s="44" t="inlineStr">
        <is>
          <t>固定不会变化</t>
        </is>
      </c>
      <c r="U1" s="44" t="inlineStr">
        <is>
          <t>固定不会变化</t>
        </is>
      </c>
      <c r="V1" s="44" t="inlineStr">
        <is>
          <t>固定不会变化</t>
        </is>
      </c>
      <c r="W1" s="44" t="inlineStr">
        <is>
          <t>固定不会变化</t>
        </is>
      </c>
      <c r="Z1" s="44" t="inlineStr">
        <is>
          <t>固定不会变化</t>
        </is>
      </c>
      <c r="AA1" s="44" t="inlineStr">
        <is>
          <t>固定不会变化</t>
        </is>
      </c>
      <c r="AB1" s="44" t="inlineStr">
        <is>
          <t>固定不会变化</t>
        </is>
      </c>
      <c r="AE1" s="44" t="inlineStr">
        <is>
          <t>固定不会变化</t>
        </is>
      </c>
      <c r="AF1" s="44" t="inlineStr">
        <is>
          <t>固定不会变化</t>
        </is>
      </c>
      <c r="AG1" s="44" t="inlineStr">
        <is>
          <t>固定不会变化</t>
        </is>
      </c>
    </row>
    <row r="2" ht="120" customHeight="1" s="49">
      <c r="A2" s="1" t="inlineStr">
        <is>
          <t>地区</t>
        </is>
      </c>
      <c r="B2" s="2" t="inlineStr">
        <is>
          <t>上月总让利金额
（9折+0费）</t>
        </is>
      </c>
      <c r="C2" s="2" t="inlineStr">
        <is>
          <t>当月总让利金额
（9折+0费）</t>
        </is>
      </c>
      <c r="D2" s="2" t="inlineStr">
        <is>
          <t>上月预估的当月总让利金额</t>
        </is>
      </c>
      <c r="E2" s="2" t="inlineStr">
        <is>
          <t>当月预估下月的总让利金额</t>
        </is>
      </c>
      <c r="F2" s="2" t="inlineStr">
        <is>
          <t>本月实际总让利金额与上月预估的本月总让利金额的差异波动</t>
        </is>
      </c>
      <c r="G2" s="2" t="inlineStr">
        <is>
          <t>上月的报送商户数（总）</t>
        </is>
      </c>
      <c r="H2" s="2" t="inlineStr">
        <is>
          <t>当月9折+0费的总商户数</t>
        </is>
      </c>
      <c r="I2" s="3" t="inlineStr">
        <is>
          <t>转移视频号商户数</t>
        </is>
      </c>
      <c r="J2" s="4" t="inlineStr">
        <is>
          <t>【教培行业】取消降费活动，转移至0.38%费率部分商户数</t>
        </is>
      </c>
      <c r="K2" s="47" t="inlineStr">
        <is>
          <t>2024年9月30日以后不再享受9折降费优惠的商户数（历史惠及过）</t>
        </is>
      </c>
      <c r="L2" s="5" t="inlineStr">
        <is>
          <t>本月报送商户数</t>
        </is>
      </c>
      <c r="M2" s="2" t="inlineStr">
        <is>
          <t>上月的报送商户数（小微）</t>
        </is>
      </c>
      <c r="N2" s="48" t="inlineStr">
        <is>
          <t>当月9折+0费的小微企业商户数</t>
        </is>
      </c>
      <c r="O2" s="3" t="inlineStr">
        <is>
          <t>转移视频号商户数</t>
        </is>
      </c>
      <c r="P2" s="4" t="inlineStr">
        <is>
          <t>【教培行业】取消降费活动，转移至0.38%费率部分商户数</t>
        </is>
      </c>
      <c r="Q2" s="47" t="inlineStr">
        <is>
          <t>2024年9月30日以后不再享受9折降费优惠的商户数（历史惠及过）</t>
        </is>
      </c>
      <c r="R2" s="5" t="inlineStr">
        <is>
          <t>本月报送商户数</t>
        </is>
      </c>
      <c r="S2" s="2" t="inlineStr">
        <is>
          <t>上月的报送商户数（个体工商户）</t>
        </is>
      </c>
      <c r="T2" s="2" t="inlineStr">
        <is>
          <t>当月9折+0费的个体工商户商户数</t>
        </is>
      </c>
      <c r="U2" s="3" t="inlineStr">
        <is>
          <t>转移视频号商户数</t>
        </is>
      </c>
      <c r="V2" s="4" t="inlineStr">
        <is>
          <t>【教培行业】取消降费活动，转移至0.38%费率部分商户数</t>
        </is>
      </c>
      <c r="W2" s="5" t="inlineStr">
        <is>
          <t>本月报送商户数</t>
        </is>
      </c>
      <c r="X2" s="2" t="inlineStr">
        <is>
          <t>上月的报送商户数（有交易行为的个人）</t>
        </is>
      </c>
      <c r="Y2" s="2" t="inlineStr">
        <is>
          <t>当月9折部分有交易行为的个人商户数+当月商家通累计注册商家</t>
        </is>
      </c>
      <c r="Z2" s="3" t="inlineStr">
        <is>
          <t>转移视频号商户数</t>
        </is>
      </c>
      <c r="AA2" s="4" t="inlineStr">
        <is>
          <t>【教培行业】取消降费活动，转移至0.38%费率部分商户数</t>
        </is>
      </c>
      <c r="AB2" s="5" t="inlineStr">
        <is>
          <t>本月报送商户数</t>
        </is>
      </c>
      <c r="AC2" s="2" t="inlineStr">
        <is>
          <t>上月的报送商户数（仅9折部分的小微企业+个体工商户）</t>
        </is>
      </c>
      <c r="AD2" s="6" t="inlineStr">
        <is>
          <t>当月仅9折部分的小微企业+个体工商户的商户数</t>
        </is>
      </c>
      <c r="AE2" s="3" t="inlineStr">
        <is>
          <t>转移视频号商户数</t>
        </is>
      </c>
      <c r="AF2" s="4" t="inlineStr">
        <is>
          <t>【教培行业】取消降费活动，转移至0.38%费率部分商户数</t>
        </is>
      </c>
      <c r="AG2" s="47" t="inlineStr">
        <is>
          <t>2024年9月30日以后不再享受9折降费优惠的商户数（历史惠及过）</t>
        </is>
      </c>
      <c r="AH2" s="5" t="inlineStr">
        <is>
          <t>本月报送商户数</t>
        </is>
      </c>
    </row>
    <row r="3">
      <c r="A3" s="44" t="inlineStr">
        <is>
          <t>安徽省</t>
        </is>
      </c>
      <c r="B3" s="50" t="n">
        <v>2367.102607326556</v>
      </c>
      <c r="C3" s="40" t="n">
        <v>2367.102607326556</v>
      </c>
      <c r="D3" s="51" t="n">
        <v>2393.949995323512</v>
      </c>
      <c r="E3" s="40">
        <f>(C3-B3)+C3</f>
        <v/>
      </c>
      <c r="F3" s="41">
        <f>(C3-D3)/C3</f>
        <v/>
      </c>
      <c r="G3" s="44" t="n">
        <v>180180</v>
      </c>
      <c r="H3" s="43" t="n">
        <v>0</v>
      </c>
      <c r="I3" s="16" t="n">
        <v>7219</v>
      </c>
      <c r="J3" s="17" t="n">
        <v>521</v>
      </c>
      <c r="K3" s="18" t="n">
        <v>1383</v>
      </c>
      <c r="L3" s="19">
        <f>H3+I3+J3+K3</f>
        <v/>
      </c>
      <c r="M3" s="20" t="n">
        <v>82747</v>
      </c>
      <c r="N3" s="21" t="n">
        <v>0</v>
      </c>
      <c r="O3" s="16" t="n">
        <v>2432</v>
      </c>
      <c r="P3" s="17" t="n">
        <v>485</v>
      </c>
      <c r="Q3" s="18" t="n">
        <v>1383</v>
      </c>
      <c r="R3" s="19">
        <f>N3+O3+P3+Q3</f>
        <v/>
      </c>
      <c r="S3" s="44" t="n">
        <v>97433</v>
      </c>
      <c r="T3" s="43" t="n">
        <v>0</v>
      </c>
      <c r="U3" s="16">
        <f>I3-O3</f>
        <v/>
      </c>
      <c r="V3" s="17" t="n">
        <v>36</v>
      </c>
      <c r="W3" s="19">
        <f>T3+U3+V3</f>
        <v/>
      </c>
      <c r="X3" t="n">
        <v>0</v>
      </c>
      <c r="AC3" s="42" t="n">
        <v>180081</v>
      </c>
      <c r="AD3" s="43" t="n">
        <v>0</v>
      </c>
      <c r="AE3" s="23" t="n">
        <v>7219</v>
      </c>
      <c r="AF3" s="24" t="n">
        <v>521</v>
      </c>
      <c r="AG3" s="18" t="n">
        <v>1383</v>
      </c>
      <c r="AH3" s="19">
        <f>AD3+AE3+AF3+AG3</f>
        <v/>
      </c>
    </row>
    <row r="4">
      <c r="A4" s="44" t="inlineStr">
        <is>
          <t>北京市</t>
        </is>
      </c>
      <c r="B4" s="50" t="n">
        <v>116989.421044856</v>
      </c>
      <c r="C4" s="40" t="n">
        <v>116989.421044856</v>
      </c>
      <c r="D4" s="51" t="n">
        <v>120437.1080549513</v>
      </c>
      <c r="E4" s="40">
        <f>(C4-B4)+C4</f>
        <v/>
      </c>
      <c r="F4" s="41">
        <f>(C4-D4)/C4</f>
        <v/>
      </c>
      <c r="G4" s="44" t="n">
        <v>193845</v>
      </c>
      <c r="H4" s="43" t="n">
        <v>0</v>
      </c>
      <c r="I4" s="16" t="n">
        <v>6455</v>
      </c>
      <c r="J4" s="17" t="n">
        <v>67</v>
      </c>
      <c r="K4" s="18" t="n">
        <v>4127</v>
      </c>
      <c r="L4" s="19">
        <f>H4+I4+J4+K4</f>
        <v/>
      </c>
      <c r="M4" s="20" t="n">
        <v>185037</v>
      </c>
      <c r="N4" s="21" t="n">
        <v>0</v>
      </c>
      <c r="O4" s="16" t="n">
        <v>6052</v>
      </c>
      <c r="P4" s="17" t="n">
        <v>61</v>
      </c>
      <c r="Q4" s="18" t="n">
        <v>4127</v>
      </c>
      <c r="R4" s="19">
        <f>N4+O4+P4+Q4</f>
        <v/>
      </c>
      <c r="S4" s="44" t="n">
        <v>8808</v>
      </c>
      <c r="T4" s="43" t="n">
        <v>0</v>
      </c>
      <c r="U4" s="16">
        <f>I4-O4</f>
        <v/>
      </c>
      <c r="V4" s="17" t="n">
        <v>6</v>
      </c>
      <c r="W4" s="19">
        <f>T4+U4+V4</f>
        <v/>
      </c>
      <c r="X4" t="n">
        <v>0</v>
      </c>
      <c r="AC4" s="42" t="n">
        <v>193473</v>
      </c>
      <c r="AD4" s="43" t="n">
        <v>0</v>
      </c>
      <c r="AE4" s="23" t="n">
        <v>6455</v>
      </c>
      <c r="AF4" s="24" t="n">
        <v>67</v>
      </c>
      <c r="AG4" s="18" t="n">
        <v>4127</v>
      </c>
      <c r="AH4" s="19">
        <f>AD4+AE4+AF4+AG4</f>
        <v/>
      </c>
    </row>
    <row r="5">
      <c r="A5" s="44" t="inlineStr">
        <is>
          <t>福建省</t>
        </is>
      </c>
      <c r="B5" s="50" t="n">
        <v>3181.281660045284</v>
      </c>
      <c r="C5" s="40" t="n">
        <v>3181.281660045284</v>
      </c>
      <c r="D5" s="51" t="n">
        <v>3222.343437303529</v>
      </c>
      <c r="E5" s="40">
        <f>(C5-B5)+C5</f>
        <v/>
      </c>
      <c r="F5" s="41">
        <f>(C5-D5)/C5</f>
        <v/>
      </c>
      <c r="G5" s="44" t="n">
        <v>357874</v>
      </c>
      <c r="H5" s="43" t="n">
        <v>0</v>
      </c>
      <c r="I5" s="16" t="n">
        <v>28099</v>
      </c>
      <c r="J5" s="17" t="n">
        <v>318</v>
      </c>
      <c r="K5" s="18" t="n">
        <v>1935</v>
      </c>
      <c r="L5" s="19">
        <f>H5+I5+J5+K5</f>
        <v/>
      </c>
      <c r="M5" s="20" t="n">
        <v>108528</v>
      </c>
      <c r="N5" s="21" t="n">
        <v>0</v>
      </c>
      <c r="O5" s="16" t="n">
        <v>6466</v>
      </c>
      <c r="P5" s="17" t="n">
        <v>280</v>
      </c>
      <c r="Q5" s="18" t="n">
        <v>1935</v>
      </c>
      <c r="R5" s="19">
        <f>N5+O5+P5+Q5</f>
        <v/>
      </c>
      <c r="S5" s="44" t="n">
        <v>249346</v>
      </c>
      <c r="T5" s="43" t="n">
        <v>0</v>
      </c>
      <c r="U5" s="16">
        <f>I5-O5</f>
        <v/>
      </c>
      <c r="V5" s="17" t="n">
        <v>38</v>
      </c>
      <c r="W5" s="19">
        <f>T5+U5+V5</f>
        <v/>
      </c>
      <c r="X5" t="n">
        <v>0</v>
      </c>
      <c r="AC5" s="42" t="n">
        <v>357727</v>
      </c>
      <c r="AD5" s="43" t="n">
        <v>0</v>
      </c>
      <c r="AE5" s="23" t="n">
        <v>28099</v>
      </c>
      <c r="AF5" s="24" t="n">
        <v>318</v>
      </c>
      <c r="AG5" s="18" t="n">
        <v>1935</v>
      </c>
      <c r="AH5" s="19">
        <f>AD5+AE5+AF5+AG5</f>
        <v/>
      </c>
    </row>
    <row r="6">
      <c r="A6" s="44" t="inlineStr">
        <is>
          <t>甘肃省</t>
        </is>
      </c>
      <c r="B6" s="50" t="n">
        <v>526.8001371824682</v>
      </c>
      <c r="C6" s="40" t="n">
        <v>526.8001371824682</v>
      </c>
      <c r="D6" s="51" t="n">
        <v>537.3603732527192</v>
      </c>
      <c r="E6" s="40">
        <f>(C6-B6)+C6</f>
        <v/>
      </c>
      <c r="F6" s="41">
        <f>(C6-D6)/C6</f>
        <v/>
      </c>
      <c r="G6" s="25" t="n">
        <v>59457</v>
      </c>
      <c r="H6" s="21" t="n">
        <v>0</v>
      </c>
      <c r="I6" s="16" t="n">
        <v>1164</v>
      </c>
      <c r="J6" s="17" t="n">
        <v>969</v>
      </c>
      <c r="K6" s="18" t="n">
        <v>488</v>
      </c>
      <c r="L6" s="19">
        <f>H6+I6+J6+K6</f>
        <v/>
      </c>
      <c r="M6" s="20" t="n">
        <v>23123</v>
      </c>
      <c r="N6" s="21" t="n">
        <v>0</v>
      </c>
      <c r="O6" s="16" t="n">
        <v>515</v>
      </c>
      <c r="P6" s="17" t="n">
        <v>965</v>
      </c>
      <c r="Q6" s="18" t="n">
        <v>488</v>
      </c>
      <c r="R6" s="19">
        <f>N6+O6+P6+Q6</f>
        <v/>
      </c>
      <c r="S6" s="44" t="n">
        <v>36334</v>
      </c>
      <c r="T6" s="43" t="n">
        <v>0</v>
      </c>
      <c r="U6" s="16">
        <f>I6-O6</f>
        <v/>
      </c>
      <c r="V6" s="17" t="n">
        <v>4</v>
      </c>
      <c r="W6" s="19">
        <f>T6+U6+V6</f>
        <v/>
      </c>
      <c r="X6" t="n">
        <v>0</v>
      </c>
      <c r="AC6" s="25" t="n">
        <v>59422</v>
      </c>
      <c r="AD6" s="21" t="n">
        <v>0</v>
      </c>
      <c r="AE6" s="23" t="n">
        <v>1164</v>
      </c>
      <c r="AF6" s="24" t="n">
        <v>969</v>
      </c>
      <c r="AG6" s="18" t="n">
        <v>488</v>
      </c>
      <c r="AH6" s="19">
        <f>AD6+AE6+AF6+AG6</f>
        <v/>
      </c>
    </row>
    <row r="7">
      <c r="A7" s="44" t="inlineStr">
        <is>
          <t>广东省</t>
        </is>
      </c>
      <c r="B7" s="50" t="n">
        <v>15970.9478775803</v>
      </c>
      <c r="C7" s="40" t="n">
        <v>15970.9478775803</v>
      </c>
      <c r="D7" s="51" t="n">
        <v>16201.19272875268</v>
      </c>
      <c r="E7" s="40">
        <f>(C7-B7)+C7</f>
        <v/>
      </c>
      <c r="F7" s="41">
        <f>(C7-D7)/C7</f>
        <v/>
      </c>
      <c r="G7" s="44" t="n">
        <v>865130</v>
      </c>
      <c r="H7" s="43" t="n">
        <v>0</v>
      </c>
      <c r="I7" s="16" t="n">
        <v>43000</v>
      </c>
      <c r="J7" s="17" t="n">
        <v>1609</v>
      </c>
      <c r="K7" s="18" t="n">
        <v>7153</v>
      </c>
      <c r="L7" s="19">
        <f>H7+I7+J7+K7</f>
        <v/>
      </c>
      <c r="M7" s="20" t="n">
        <v>450398</v>
      </c>
      <c r="N7" s="21" t="n">
        <v>0</v>
      </c>
      <c r="O7" s="16" t="n">
        <v>16752</v>
      </c>
      <c r="P7" s="17" t="n">
        <v>1513</v>
      </c>
      <c r="Q7" s="18" t="n">
        <v>7153</v>
      </c>
      <c r="R7" s="19">
        <f>N7+O7+P7+Q7</f>
        <v/>
      </c>
      <c r="S7" s="44" t="n">
        <v>414732</v>
      </c>
      <c r="T7" s="43" t="n">
        <v>0</v>
      </c>
      <c r="U7" s="16">
        <f>I7-O7</f>
        <v/>
      </c>
      <c r="V7" s="17" t="n">
        <v>96</v>
      </c>
      <c r="W7" s="19">
        <f>T7+U7+V7</f>
        <v/>
      </c>
      <c r="X7" t="n">
        <v>0</v>
      </c>
      <c r="AC7" s="42" t="n">
        <v>864569</v>
      </c>
      <c r="AD7" s="43" t="n">
        <v>0</v>
      </c>
      <c r="AE7" s="23" t="n">
        <v>43000</v>
      </c>
      <c r="AF7" s="24" t="n">
        <v>1609</v>
      </c>
      <c r="AG7" s="18" t="n">
        <v>7153</v>
      </c>
      <c r="AH7" s="19">
        <f>AD7+AE7+AF7+AG7</f>
        <v/>
      </c>
    </row>
    <row r="8">
      <c r="A8" s="44" t="inlineStr">
        <is>
          <t>广西壮族自治区</t>
        </is>
      </c>
      <c r="B8" s="50" t="n">
        <v>1863.152778003254</v>
      </c>
      <c r="C8" s="40" t="n">
        <v>1863.152778003254</v>
      </c>
      <c r="D8" s="51" t="n">
        <v>1884.77054373715</v>
      </c>
      <c r="E8" s="40">
        <f>(C8-B8)+C8</f>
        <v/>
      </c>
      <c r="F8" s="41">
        <f>(C8-D8)/C8</f>
        <v/>
      </c>
      <c r="G8" s="44" t="n">
        <v>146445</v>
      </c>
      <c r="H8" s="43" t="n">
        <v>0</v>
      </c>
      <c r="I8" s="16" t="n">
        <v>4480</v>
      </c>
      <c r="J8" s="17" t="n">
        <v>225</v>
      </c>
      <c r="K8" s="18" t="n">
        <v>1468</v>
      </c>
      <c r="L8" s="19">
        <f>H8+I8+J8+K8</f>
        <v/>
      </c>
      <c r="M8" s="20" t="n">
        <v>59886</v>
      </c>
      <c r="N8" s="21" t="n">
        <v>0</v>
      </c>
      <c r="O8" s="16" t="n">
        <v>1500</v>
      </c>
      <c r="P8" s="17" t="n">
        <v>202</v>
      </c>
      <c r="Q8" s="18" t="n">
        <v>1468</v>
      </c>
      <c r="R8" s="19">
        <f>N8+O8+P8+Q8</f>
        <v/>
      </c>
      <c r="S8" s="44" t="n">
        <v>86559</v>
      </c>
      <c r="T8" s="43" t="n">
        <v>0</v>
      </c>
      <c r="U8" s="16">
        <f>I8-O8</f>
        <v/>
      </c>
      <c r="V8" s="17" t="n">
        <v>23</v>
      </c>
      <c r="W8" s="19">
        <f>T8+U8+V8</f>
        <v/>
      </c>
      <c r="X8" t="n">
        <v>0</v>
      </c>
      <c r="AC8" s="42" t="n">
        <v>146333</v>
      </c>
      <c r="AD8" s="43" t="n">
        <v>0</v>
      </c>
      <c r="AE8" s="23" t="n">
        <v>4480</v>
      </c>
      <c r="AF8" s="24" t="n">
        <v>225</v>
      </c>
      <c r="AG8" s="18" t="n">
        <v>1468</v>
      </c>
      <c r="AH8" s="19">
        <f>AD8+AE8+AF8+AG8</f>
        <v/>
      </c>
    </row>
    <row r="9">
      <c r="A9" s="44" t="inlineStr">
        <is>
          <t>贵州省</t>
        </is>
      </c>
      <c r="B9" s="50" t="n">
        <v>2734.965037136675</v>
      </c>
      <c r="C9" s="40" t="n">
        <v>2734.965037136675</v>
      </c>
      <c r="D9" s="51" t="n">
        <v>2747.653219605794</v>
      </c>
      <c r="E9" s="40">
        <f>(C9-B9)+C9</f>
        <v/>
      </c>
      <c r="F9" s="41">
        <f>(C9-D9)/C9</f>
        <v/>
      </c>
      <c r="G9" s="44" t="n">
        <v>101932</v>
      </c>
      <c r="H9" s="43" t="n">
        <v>0</v>
      </c>
      <c r="I9" s="16" t="n">
        <v>2707</v>
      </c>
      <c r="J9" s="17" t="n">
        <v>466</v>
      </c>
      <c r="K9" s="18" t="n">
        <v>655</v>
      </c>
      <c r="L9" s="19">
        <f>H9+I9+J9+K9</f>
        <v/>
      </c>
      <c r="M9" s="20" t="n">
        <v>44827</v>
      </c>
      <c r="N9" s="21" t="n">
        <v>0</v>
      </c>
      <c r="O9" s="16" t="n">
        <v>1241</v>
      </c>
      <c r="P9" s="17" t="n">
        <v>439</v>
      </c>
      <c r="Q9" s="18" t="n">
        <v>655</v>
      </c>
      <c r="R9" s="19">
        <f>N9+O9+P9+Q9</f>
        <v/>
      </c>
      <c r="S9" s="44" t="n">
        <v>57105</v>
      </c>
      <c r="T9" s="43" t="n">
        <v>0</v>
      </c>
      <c r="U9" s="16">
        <f>I9-O9</f>
        <v/>
      </c>
      <c r="V9" s="17" t="n">
        <v>27</v>
      </c>
      <c r="W9" s="19">
        <f>T9+U9+V9</f>
        <v/>
      </c>
      <c r="X9" t="n">
        <v>0</v>
      </c>
      <c r="AC9" s="42" t="n">
        <v>101875</v>
      </c>
      <c r="AD9" s="43" t="n">
        <v>0</v>
      </c>
      <c r="AE9" s="23" t="n">
        <v>2707</v>
      </c>
      <c r="AF9" s="24" t="n">
        <v>466</v>
      </c>
      <c r="AG9" s="18" t="n">
        <v>655</v>
      </c>
      <c r="AH9" s="19">
        <f>AD9+AE9+AF9+AG9</f>
        <v/>
      </c>
    </row>
    <row r="10">
      <c r="A10" s="44" t="inlineStr">
        <is>
          <t>海南省</t>
        </is>
      </c>
      <c r="B10" s="50" t="n">
        <v>3091.827660278223</v>
      </c>
      <c r="C10" s="40" t="n">
        <v>3091.827660278223</v>
      </c>
      <c r="D10" s="51" t="n">
        <v>3118.765015189436</v>
      </c>
      <c r="E10" s="40">
        <f>(C10-B10)+C10</f>
        <v/>
      </c>
      <c r="F10" s="41">
        <f>(C10-D10)/C10</f>
        <v/>
      </c>
      <c r="G10" s="44" t="n">
        <v>238162</v>
      </c>
      <c r="H10" s="43" t="n">
        <v>0</v>
      </c>
      <c r="I10" s="16" t="n">
        <v>19510</v>
      </c>
      <c r="J10" s="17" t="n">
        <v>304</v>
      </c>
      <c r="K10" s="18" t="n">
        <v>1288</v>
      </c>
      <c r="L10" s="19">
        <f>H10+I10+J10+K10</f>
        <v/>
      </c>
      <c r="M10" s="20" t="n">
        <v>42349</v>
      </c>
      <c r="N10" s="21" t="n">
        <v>0</v>
      </c>
      <c r="O10" s="16" t="n">
        <v>767</v>
      </c>
      <c r="P10" s="17" t="n">
        <v>260</v>
      </c>
      <c r="Q10" s="18" t="n">
        <v>1288</v>
      </c>
      <c r="R10" s="19">
        <f>N10+O10+P10+Q10</f>
        <v/>
      </c>
      <c r="S10" s="44" t="n">
        <v>195813</v>
      </c>
      <c r="T10" s="43" t="n">
        <v>0</v>
      </c>
      <c r="U10" s="16">
        <f>I10-O10</f>
        <v/>
      </c>
      <c r="V10" s="17" t="n">
        <v>44</v>
      </c>
      <c r="W10" s="19">
        <f>T10+U10+V10</f>
        <v/>
      </c>
      <c r="X10" t="n">
        <v>0</v>
      </c>
      <c r="AC10" s="42" t="n">
        <v>238135</v>
      </c>
      <c r="AD10" s="43" t="n">
        <v>0</v>
      </c>
      <c r="AE10" s="23" t="n">
        <v>19510</v>
      </c>
      <c r="AF10" s="24" t="n">
        <v>304</v>
      </c>
      <c r="AG10" s="18" t="n">
        <v>1288</v>
      </c>
      <c r="AH10" s="19">
        <f>AD10+AE10+AF10+AG10</f>
        <v/>
      </c>
    </row>
    <row r="11">
      <c r="A11" s="44" t="inlineStr">
        <is>
          <t>河北省</t>
        </is>
      </c>
      <c r="B11" s="50" t="n">
        <v>1858.470034319927</v>
      </c>
      <c r="C11" s="40" t="n">
        <v>1858.470034319927</v>
      </c>
      <c r="D11" s="51" t="n">
        <v>1885.444199282873</v>
      </c>
      <c r="E11" s="40">
        <f>(C11-B11)+C11</f>
        <v/>
      </c>
      <c r="F11" s="41">
        <f>(C11-D11)/C11</f>
        <v/>
      </c>
      <c r="G11" s="44" t="n">
        <v>214728</v>
      </c>
      <c r="H11" s="43" t="n">
        <v>0</v>
      </c>
      <c r="I11" s="16" t="n">
        <v>20361</v>
      </c>
      <c r="J11" s="17" t="n">
        <v>440</v>
      </c>
      <c r="K11" s="18" t="n">
        <v>1032</v>
      </c>
      <c r="L11" s="19">
        <f>H11+I11+J11+K11</f>
        <v/>
      </c>
      <c r="M11" s="20" t="n">
        <v>79787</v>
      </c>
      <c r="N11" s="21" t="n">
        <v>0</v>
      </c>
      <c r="O11" s="16" t="n">
        <v>3769</v>
      </c>
      <c r="P11" s="17" t="n">
        <v>387</v>
      </c>
      <c r="Q11" s="18" t="n">
        <v>1032</v>
      </c>
      <c r="R11" s="19">
        <f>N11+O11+P11+Q11</f>
        <v/>
      </c>
      <c r="S11" s="44" t="n">
        <v>134941</v>
      </c>
      <c r="T11" s="43" t="n">
        <v>0</v>
      </c>
      <c r="U11" s="16">
        <f>I11-O11</f>
        <v/>
      </c>
      <c r="V11" s="17" t="n">
        <v>53</v>
      </c>
      <c r="W11" s="19">
        <f>T11+U11+V11</f>
        <v/>
      </c>
      <c r="X11" t="n">
        <v>0</v>
      </c>
      <c r="AC11" s="42" t="n">
        <v>214603</v>
      </c>
      <c r="AD11" s="43" t="n">
        <v>0</v>
      </c>
      <c r="AE11" s="23" t="n">
        <v>20361</v>
      </c>
      <c r="AF11" s="24" t="n">
        <v>440</v>
      </c>
      <c r="AG11" s="18" t="n">
        <v>1032</v>
      </c>
      <c r="AH11" s="19">
        <f>AD11+AE11+AF11+AG11</f>
        <v/>
      </c>
    </row>
    <row r="12">
      <c r="A12" s="44" t="inlineStr">
        <is>
          <t>河南省</t>
        </is>
      </c>
      <c r="B12" s="50" t="n">
        <v>3391.704500206441</v>
      </c>
      <c r="C12" s="40" t="n">
        <v>3391.704500206441</v>
      </c>
      <c r="D12" s="51" t="n">
        <v>3447.85068600324</v>
      </c>
      <c r="E12" s="40">
        <f>(C12-B12)+C12</f>
        <v/>
      </c>
      <c r="F12" s="41">
        <f>(C12-D12)/C12</f>
        <v/>
      </c>
      <c r="G12" s="44" t="n">
        <v>332944</v>
      </c>
      <c r="H12" s="43" t="n">
        <v>0</v>
      </c>
      <c r="I12" s="16" t="n">
        <v>17225</v>
      </c>
      <c r="J12" s="17" t="n">
        <v>310</v>
      </c>
      <c r="K12" s="18" t="n">
        <v>2066</v>
      </c>
      <c r="L12" s="19">
        <f>H12+I12+J12+K12</f>
        <v/>
      </c>
      <c r="M12" s="20" t="n">
        <v>128663</v>
      </c>
      <c r="N12" s="21" t="n">
        <v>0</v>
      </c>
      <c r="O12" s="16" t="n">
        <v>4848</v>
      </c>
      <c r="P12" s="17" t="n">
        <v>246</v>
      </c>
      <c r="Q12" s="18" t="n">
        <v>2066</v>
      </c>
      <c r="R12" s="19">
        <f>N12+O12+P12+Q12</f>
        <v/>
      </c>
      <c r="S12" s="44" t="n">
        <v>204281</v>
      </c>
      <c r="T12" s="43" t="n">
        <v>0</v>
      </c>
      <c r="U12" s="16">
        <f>I12-O12</f>
        <v/>
      </c>
      <c r="V12" s="17" t="n">
        <v>64</v>
      </c>
      <c r="W12" s="19">
        <f>T12+U12+V12</f>
        <v/>
      </c>
      <c r="X12" t="n">
        <v>0</v>
      </c>
      <c r="AC12" s="42" t="n">
        <v>332723</v>
      </c>
      <c r="AD12" s="43" t="n">
        <v>0</v>
      </c>
      <c r="AE12" s="23" t="n">
        <v>17225</v>
      </c>
      <c r="AF12" s="24" t="n">
        <v>310</v>
      </c>
      <c r="AG12" s="18" t="n">
        <v>2066</v>
      </c>
      <c r="AH12" s="19">
        <f>AD12+AE12+AF12+AG12</f>
        <v/>
      </c>
    </row>
    <row r="13">
      <c r="A13" s="44" t="inlineStr">
        <is>
          <t>黑龙江省</t>
        </is>
      </c>
      <c r="B13" s="50" t="n">
        <v>960.3725167800095</v>
      </c>
      <c r="C13" s="40" t="n">
        <v>960.3725167800095</v>
      </c>
      <c r="D13" s="51" t="n">
        <v>973.6238751283818</v>
      </c>
      <c r="E13" s="40">
        <f>(C13-B13)+C13</f>
        <v/>
      </c>
      <c r="F13" s="41">
        <f>(C13-D13)/C13</f>
        <v/>
      </c>
      <c r="G13" s="44" t="n">
        <v>84710</v>
      </c>
      <c r="H13" s="43" t="n">
        <v>0</v>
      </c>
      <c r="I13" s="16" t="n">
        <v>3431</v>
      </c>
      <c r="J13" s="17" t="n">
        <v>165</v>
      </c>
      <c r="K13" s="18" t="n">
        <v>384</v>
      </c>
      <c r="L13" s="19">
        <f>H13+I13+J13+K13</f>
        <v/>
      </c>
      <c r="M13" s="20" t="n">
        <v>23367</v>
      </c>
      <c r="N13" s="21" t="n">
        <v>0</v>
      </c>
      <c r="O13" s="16" t="n">
        <v>971</v>
      </c>
      <c r="P13" s="17" t="n">
        <v>129</v>
      </c>
      <c r="Q13" s="18" t="n">
        <v>384</v>
      </c>
      <c r="R13" s="19">
        <f>N13+O13+P13+Q13</f>
        <v/>
      </c>
      <c r="S13" s="44" t="n">
        <v>61343</v>
      </c>
      <c r="T13" s="43" t="n">
        <v>0</v>
      </c>
      <c r="U13" s="16">
        <f>I13-O13</f>
        <v/>
      </c>
      <c r="V13" s="17" t="n">
        <v>36</v>
      </c>
      <c r="W13" s="19">
        <f>T13+U13+V13</f>
        <v/>
      </c>
      <c r="X13" t="n">
        <v>0</v>
      </c>
      <c r="AC13" s="42" t="n">
        <v>84659</v>
      </c>
      <c r="AD13" s="43" t="n">
        <v>0</v>
      </c>
      <c r="AE13" s="23" t="n">
        <v>3431</v>
      </c>
      <c r="AF13" s="24" t="n">
        <v>165</v>
      </c>
      <c r="AG13" s="18" t="n">
        <v>384</v>
      </c>
      <c r="AH13" s="19">
        <f>AD13+AE13+AF13+AG13</f>
        <v/>
      </c>
    </row>
    <row r="14">
      <c r="A14" s="44" t="inlineStr">
        <is>
          <t>湖北省</t>
        </is>
      </c>
      <c r="B14" s="50" t="n">
        <v>4060.679224158609</v>
      </c>
      <c r="C14" s="40" t="n">
        <v>4060.679224158609</v>
      </c>
      <c r="D14" s="51" t="n">
        <v>4106.347305155115</v>
      </c>
      <c r="E14" s="40">
        <f>(C14-B14)+C14</f>
        <v/>
      </c>
      <c r="F14" s="41">
        <f>(C14-D14)/C14</f>
        <v/>
      </c>
      <c r="G14" s="44" t="n">
        <v>285230</v>
      </c>
      <c r="H14" s="43" t="n">
        <v>0</v>
      </c>
      <c r="I14" s="16" t="n">
        <v>8063</v>
      </c>
      <c r="J14" s="17" t="n">
        <v>205</v>
      </c>
      <c r="K14" s="18" t="n">
        <v>2232</v>
      </c>
      <c r="L14" s="19">
        <f>H14+I14+J14+K14</f>
        <v/>
      </c>
      <c r="M14" s="20" t="n">
        <v>99432</v>
      </c>
      <c r="N14" s="21" t="n">
        <v>0</v>
      </c>
      <c r="O14" s="16" t="n">
        <v>2593</v>
      </c>
      <c r="P14" s="17" t="n">
        <v>155</v>
      </c>
      <c r="Q14" s="18" t="n">
        <v>2232</v>
      </c>
      <c r="R14" s="19">
        <f>N14+O14+P14+Q14</f>
        <v/>
      </c>
      <c r="S14" s="44" t="n">
        <v>185798</v>
      </c>
      <c r="T14" s="43" t="n">
        <v>0</v>
      </c>
      <c r="U14" s="16">
        <f>I14-O14</f>
        <v/>
      </c>
      <c r="V14" s="17" t="n">
        <v>50</v>
      </c>
      <c r="W14" s="19">
        <f>T14+U14+V14</f>
        <v/>
      </c>
      <c r="X14" t="n">
        <v>0</v>
      </c>
      <c r="AC14" s="42" t="n">
        <v>285086</v>
      </c>
      <c r="AD14" s="43" t="n">
        <v>0</v>
      </c>
      <c r="AE14" s="23" t="n">
        <v>8063</v>
      </c>
      <c r="AF14" s="24" t="n">
        <v>205</v>
      </c>
      <c r="AG14" s="18" t="n">
        <v>2232</v>
      </c>
      <c r="AH14" s="19">
        <f>AD14+AE14+AF14+AG14</f>
        <v/>
      </c>
    </row>
    <row r="15">
      <c r="A15" s="44" t="inlineStr">
        <is>
          <t>湖南省</t>
        </is>
      </c>
      <c r="B15" s="50" t="n">
        <v>3213.77623156452</v>
      </c>
      <c r="C15" s="40" t="n">
        <v>3213.77623156452</v>
      </c>
      <c r="D15" s="51" t="n">
        <v>3263.813922342324</v>
      </c>
      <c r="E15" s="40">
        <f>(C15-B15)+C15</f>
        <v/>
      </c>
      <c r="F15" s="41">
        <f>(C15-D15)/C15</f>
        <v/>
      </c>
      <c r="G15" s="44" t="n">
        <v>276077</v>
      </c>
      <c r="H15" s="43" t="n">
        <v>0</v>
      </c>
      <c r="I15" s="16" t="n">
        <v>11667</v>
      </c>
      <c r="J15" s="17" t="n">
        <v>663</v>
      </c>
      <c r="K15" s="18" t="n">
        <v>1934</v>
      </c>
      <c r="L15" s="19">
        <f>H15+I15+J15+K15</f>
        <v/>
      </c>
      <c r="M15" s="20" t="n">
        <v>90959</v>
      </c>
      <c r="N15" s="21" t="n">
        <v>0</v>
      </c>
      <c r="O15" s="16" t="n">
        <v>3315</v>
      </c>
      <c r="P15" s="17" t="n">
        <v>610</v>
      </c>
      <c r="Q15" s="18" t="n">
        <v>1934</v>
      </c>
      <c r="R15" s="19">
        <f>N15+O15+P15+Q15</f>
        <v/>
      </c>
      <c r="S15" s="44" t="n">
        <v>185118</v>
      </c>
      <c r="T15" s="43" t="n">
        <v>0</v>
      </c>
      <c r="U15" s="16">
        <f>I15-O15</f>
        <v/>
      </c>
      <c r="V15" s="17" t="n">
        <v>53</v>
      </c>
      <c r="W15" s="19">
        <f>T15+U15+V15</f>
        <v/>
      </c>
      <c r="X15" t="n">
        <v>0</v>
      </c>
      <c r="AC15" s="42" t="n">
        <v>275935</v>
      </c>
      <c r="AD15" s="43" t="n">
        <v>0</v>
      </c>
      <c r="AE15" s="23" t="n">
        <v>11667</v>
      </c>
      <c r="AF15" s="24" t="n">
        <v>663</v>
      </c>
      <c r="AG15" s="18" t="n">
        <v>1934</v>
      </c>
      <c r="AH15" s="19">
        <f>AD15+AE15+AF15+AG15</f>
        <v/>
      </c>
    </row>
    <row r="16">
      <c r="A16" s="44" t="inlineStr">
        <is>
          <t>吉林省</t>
        </is>
      </c>
      <c r="B16" s="50" t="n">
        <v>571.5810640877698</v>
      </c>
      <c r="C16" s="40" t="n">
        <v>571.5810640877698</v>
      </c>
      <c r="D16" s="51" t="n">
        <v>583.1916448896599</v>
      </c>
      <c r="E16" s="40">
        <f>(C16-B16)+C16</f>
        <v/>
      </c>
      <c r="F16" s="41">
        <f>(C16-D16)/C16</f>
        <v/>
      </c>
      <c r="G16" s="44" t="n">
        <v>77100</v>
      </c>
      <c r="H16" s="43" t="n">
        <v>0</v>
      </c>
      <c r="I16" s="16" t="n">
        <v>5228</v>
      </c>
      <c r="J16" s="17" t="n">
        <v>685</v>
      </c>
      <c r="K16" s="18" t="n">
        <v>373</v>
      </c>
      <c r="L16" s="19">
        <f>H16+I16+J16+K16</f>
        <v/>
      </c>
      <c r="M16" s="20" t="n">
        <v>21851</v>
      </c>
      <c r="N16" s="21" t="n">
        <v>0</v>
      </c>
      <c r="O16" s="16" t="n">
        <v>852</v>
      </c>
      <c r="P16" s="17" t="n">
        <v>674</v>
      </c>
      <c r="Q16" s="18" t="n">
        <v>373</v>
      </c>
      <c r="R16" s="19">
        <f>N16+O16+P16+Q16</f>
        <v/>
      </c>
      <c r="S16" s="44" t="n">
        <v>55249</v>
      </c>
      <c r="T16" s="43" t="n">
        <v>0</v>
      </c>
      <c r="U16" s="16">
        <f>I16-O16</f>
        <v/>
      </c>
      <c r="V16" s="17" t="n">
        <v>11</v>
      </c>
      <c r="W16" s="19">
        <f>T16+U16+V16</f>
        <v/>
      </c>
      <c r="X16" t="n">
        <v>0</v>
      </c>
      <c r="AC16" s="42" t="n">
        <v>77053</v>
      </c>
      <c r="AD16" s="43" t="n">
        <v>0</v>
      </c>
      <c r="AE16" s="23" t="n">
        <v>5228</v>
      </c>
      <c r="AF16" s="24" t="n">
        <v>685</v>
      </c>
      <c r="AG16" s="18" t="n">
        <v>373</v>
      </c>
      <c r="AH16" s="19">
        <f>AD16+AE16+AF16+AG16</f>
        <v/>
      </c>
    </row>
    <row r="17">
      <c r="A17" s="44" t="inlineStr">
        <is>
          <t>江苏省</t>
        </is>
      </c>
      <c r="B17" s="50" t="n">
        <v>5222.37562903298</v>
      </c>
      <c r="C17" s="40" t="n">
        <v>5222.37562903298</v>
      </c>
      <c r="D17" s="51" t="n">
        <v>5288.684431640329</v>
      </c>
      <c r="E17" s="40">
        <f>(C17-B17)+C17</f>
        <v/>
      </c>
      <c r="F17" s="41">
        <f>(C17-D17)/C17</f>
        <v/>
      </c>
      <c r="G17" s="44" t="n">
        <v>327693</v>
      </c>
      <c r="H17" s="43" t="n">
        <v>0</v>
      </c>
      <c r="I17" s="16" t="n">
        <v>24473</v>
      </c>
      <c r="J17" s="17" t="n">
        <v>992</v>
      </c>
      <c r="K17" s="18" t="n">
        <v>3051</v>
      </c>
      <c r="L17" s="19">
        <f>H17+I17+J17+K17</f>
        <v/>
      </c>
      <c r="M17" s="20" t="n">
        <v>162852</v>
      </c>
      <c r="N17" s="21" t="n">
        <v>0</v>
      </c>
      <c r="O17" s="16" t="n">
        <v>6338</v>
      </c>
      <c r="P17" s="17" t="n">
        <v>845</v>
      </c>
      <c r="Q17" s="18" t="n">
        <v>3051</v>
      </c>
      <c r="R17" s="19">
        <f>N17+O17+P17+Q17</f>
        <v/>
      </c>
      <c r="S17" s="44" t="n">
        <v>164841</v>
      </c>
      <c r="T17" s="43" t="n">
        <v>0</v>
      </c>
      <c r="U17" s="16">
        <f>I17-O17</f>
        <v/>
      </c>
      <c r="V17" s="17" t="n">
        <v>147</v>
      </c>
      <c r="W17" s="19">
        <f>T17+U17+V17</f>
        <v/>
      </c>
      <c r="X17" t="n">
        <v>0</v>
      </c>
      <c r="AC17" s="42" t="n">
        <v>327521</v>
      </c>
      <c r="AD17" s="43" t="n">
        <v>0</v>
      </c>
      <c r="AE17" s="23" t="n">
        <v>24473</v>
      </c>
      <c r="AF17" s="24" t="n">
        <v>992</v>
      </c>
      <c r="AG17" s="18" t="n">
        <v>3051</v>
      </c>
      <c r="AH17" s="19">
        <f>AD17+AE17+AF17+AG17</f>
        <v/>
      </c>
    </row>
    <row r="18">
      <c r="A18" s="44" t="inlineStr">
        <is>
          <t>江西省</t>
        </is>
      </c>
      <c r="B18" s="50" t="n">
        <v>1714.389964101925</v>
      </c>
      <c r="C18" s="40" t="n">
        <v>1714.389964101925</v>
      </c>
      <c r="D18" s="51" t="n">
        <v>1730.084308985673</v>
      </c>
      <c r="E18" s="40">
        <f>(C18-B18)+C18</f>
        <v/>
      </c>
      <c r="F18" s="41">
        <f>(C18-D18)/C18</f>
        <v/>
      </c>
      <c r="G18" s="44" t="n">
        <v>290475</v>
      </c>
      <c r="H18" s="43" t="n">
        <v>0</v>
      </c>
      <c r="I18" s="16" t="n">
        <v>13908</v>
      </c>
      <c r="J18" s="17" t="n">
        <v>529</v>
      </c>
      <c r="K18" s="18" t="n">
        <v>692</v>
      </c>
      <c r="L18" s="19">
        <f>H18+I18+J18+K18</f>
        <v/>
      </c>
      <c r="M18" s="20" t="n">
        <v>40873</v>
      </c>
      <c r="N18" s="21" t="n">
        <v>0</v>
      </c>
      <c r="O18" s="16" t="n">
        <v>1785</v>
      </c>
      <c r="P18" s="17" t="n">
        <v>501</v>
      </c>
      <c r="Q18" s="18" t="n">
        <v>692</v>
      </c>
      <c r="R18" s="19">
        <f>N18+O18+P18+Q18</f>
        <v/>
      </c>
      <c r="S18" s="44" t="n">
        <v>249602</v>
      </c>
      <c r="T18" s="43" t="n">
        <v>0</v>
      </c>
      <c r="U18" s="16">
        <f>I18-O18</f>
        <v/>
      </c>
      <c r="V18" s="17" t="n">
        <v>28</v>
      </c>
      <c r="W18" s="19">
        <f>T18+U18+V18</f>
        <v/>
      </c>
      <c r="X18" t="n">
        <v>0</v>
      </c>
      <c r="AC18" s="42" t="n">
        <v>290342</v>
      </c>
      <c r="AD18" s="43" t="n">
        <v>0</v>
      </c>
      <c r="AE18" s="23" t="n">
        <v>13908</v>
      </c>
      <c r="AF18" s="24" t="n">
        <v>529</v>
      </c>
      <c r="AG18" s="18" t="n">
        <v>692</v>
      </c>
      <c r="AH18" s="19">
        <f>AD18+AE18+AF18+AG18</f>
        <v/>
      </c>
    </row>
    <row r="19">
      <c r="A19" s="44" t="inlineStr">
        <is>
          <t>辽宁省</t>
        </is>
      </c>
      <c r="B19" s="50" t="n">
        <v>1752.000643794343</v>
      </c>
      <c r="C19" s="40" t="n">
        <v>1752.000643794343</v>
      </c>
      <c r="D19" s="51" t="n">
        <v>1775.67958100648</v>
      </c>
      <c r="E19" s="40">
        <f>(C19-B19)+C19</f>
        <v/>
      </c>
      <c r="F19" s="41">
        <f>(C19-D19)/C19</f>
        <v/>
      </c>
      <c r="G19" s="44" t="n">
        <v>137130</v>
      </c>
      <c r="H19" s="43" t="n">
        <v>0</v>
      </c>
      <c r="I19" s="16" t="n">
        <v>6935</v>
      </c>
      <c r="J19" s="17" t="n">
        <v>245</v>
      </c>
      <c r="K19" s="18" t="n">
        <v>950</v>
      </c>
      <c r="L19" s="19">
        <f>H19+I19+J19+K19</f>
        <v/>
      </c>
      <c r="M19" s="20" t="n">
        <v>46407</v>
      </c>
      <c r="N19" s="21" t="n">
        <v>0</v>
      </c>
      <c r="O19" s="16" t="n">
        <v>1407</v>
      </c>
      <c r="P19" s="17" t="n">
        <v>185</v>
      </c>
      <c r="Q19" s="18" t="n">
        <v>950</v>
      </c>
      <c r="R19" s="19">
        <f>N19+O19+P19+Q19</f>
        <v/>
      </c>
      <c r="S19" s="44" t="n">
        <v>90723</v>
      </c>
      <c r="T19" s="43" t="n">
        <v>0</v>
      </c>
      <c r="U19" s="16">
        <f>I19-O19</f>
        <v/>
      </c>
      <c r="V19" s="17" t="n">
        <v>60</v>
      </c>
      <c r="W19" s="19">
        <f>T19+U19+V19</f>
        <v/>
      </c>
      <c r="X19" t="n">
        <v>0</v>
      </c>
      <c r="AC19" s="42" t="n">
        <v>137019</v>
      </c>
      <c r="AD19" s="43" t="n">
        <v>0</v>
      </c>
      <c r="AE19" s="23" t="n">
        <v>6935</v>
      </c>
      <c r="AF19" s="24" t="n">
        <v>245</v>
      </c>
      <c r="AG19" s="18" t="n">
        <v>950</v>
      </c>
      <c r="AH19" s="19">
        <f>AD19+AE19+AF19+AG19</f>
        <v/>
      </c>
    </row>
    <row r="20">
      <c r="A20" s="44" t="inlineStr">
        <is>
          <t>内蒙古自治区</t>
        </is>
      </c>
      <c r="B20" s="50" t="n">
        <v>704.8943441713762</v>
      </c>
      <c r="C20" s="40" t="n">
        <v>704.8943441713762</v>
      </c>
      <c r="D20" s="51" t="n">
        <v>716.8509043667472</v>
      </c>
      <c r="E20" s="40">
        <f>(C20-B20)+C20</f>
        <v/>
      </c>
      <c r="F20" s="41">
        <f>(C20-D20)/C20</f>
        <v/>
      </c>
      <c r="G20" s="44" t="n">
        <v>83353</v>
      </c>
      <c r="H20" s="43" t="n">
        <v>0</v>
      </c>
      <c r="I20" s="16" t="n">
        <v>1649</v>
      </c>
      <c r="J20" s="17" t="n">
        <v>474</v>
      </c>
      <c r="K20" s="18" t="n">
        <v>422</v>
      </c>
      <c r="L20" s="19">
        <f>H20+I20+J20+K20</f>
        <v/>
      </c>
      <c r="M20" s="20" t="n">
        <v>24299</v>
      </c>
      <c r="N20" s="21" t="n">
        <v>0</v>
      </c>
      <c r="O20" s="16" t="n">
        <v>552</v>
      </c>
      <c r="P20" s="17" t="n">
        <v>450</v>
      </c>
      <c r="Q20" s="18" t="n">
        <v>422</v>
      </c>
      <c r="R20" s="19">
        <f>N20+O20+P20+Q20</f>
        <v/>
      </c>
      <c r="S20" s="44" t="n">
        <v>59054</v>
      </c>
      <c r="T20" s="43" t="n">
        <v>0</v>
      </c>
      <c r="U20" s="16">
        <f>I20-O20</f>
        <v/>
      </c>
      <c r="V20" s="17" t="n">
        <v>24</v>
      </c>
      <c r="W20" s="19">
        <f>T20+U20+V20</f>
        <v/>
      </c>
      <c r="X20" t="n">
        <v>0</v>
      </c>
      <c r="AC20" s="42" t="n">
        <v>83287</v>
      </c>
      <c r="AD20" s="43" t="n">
        <v>0</v>
      </c>
      <c r="AE20" s="23" t="n">
        <v>1649</v>
      </c>
      <c r="AF20" s="24" t="n">
        <v>474</v>
      </c>
      <c r="AG20" s="18" t="n">
        <v>422</v>
      </c>
      <c r="AH20" s="19">
        <f>AD20+AE20+AF20+AG20</f>
        <v/>
      </c>
    </row>
    <row r="21">
      <c r="A21" s="44" t="inlineStr">
        <is>
          <t>宁夏回族自治区</t>
        </is>
      </c>
      <c r="B21" s="50" t="n">
        <v>252.5128723746354</v>
      </c>
      <c r="C21" s="40" t="n">
        <v>252.5128723746354</v>
      </c>
      <c r="D21" s="51" t="n">
        <v>256.8135646505042</v>
      </c>
      <c r="E21" s="40">
        <f>(C21-B21)+C21</f>
        <v/>
      </c>
      <c r="F21" s="41">
        <f>(C21-D21)/C21</f>
        <v/>
      </c>
      <c r="G21" s="25" t="n">
        <v>23919</v>
      </c>
      <c r="H21" s="21" t="n">
        <v>0</v>
      </c>
      <c r="I21" s="16" t="n">
        <v>637</v>
      </c>
      <c r="J21" s="17" t="n">
        <v>356</v>
      </c>
      <c r="K21" s="18" t="n">
        <v>197</v>
      </c>
      <c r="L21" s="19">
        <f>H21+I21+J21+K21</f>
        <v/>
      </c>
      <c r="M21" s="20" t="n">
        <v>9898</v>
      </c>
      <c r="N21" s="21" t="n">
        <v>0</v>
      </c>
      <c r="O21" s="16" t="n">
        <v>298</v>
      </c>
      <c r="P21" s="17" t="n">
        <v>331</v>
      </c>
      <c r="Q21" s="18" t="n">
        <v>197</v>
      </c>
      <c r="R21" s="19">
        <f>N21+O21+P21+Q21</f>
        <v/>
      </c>
      <c r="S21" s="44" t="n">
        <v>14021</v>
      </c>
      <c r="T21" s="43" t="n">
        <v>0</v>
      </c>
      <c r="U21" s="16">
        <f>I21-O21</f>
        <v/>
      </c>
      <c r="V21" s="17" t="n">
        <v>25</v>
      </c>
      <c r="W21" s="19">
        <f>T21+U21+V21</f>
        <v/>
      </c>
      <c r="X21" t="n">
        <v>0</v>
      </c>
      <c r="AC21" s="25" t="n">
        <v>23900</v>
      </c>
      <c r="AD21" s="21" t="n">
        <v>0</v>
      </c>
      <c r="AE21" s="23" t="n">
        <v>637</v>
      </c>
      <c r="AF21" s="24" t="n">
        <v>356</v>
      </c>
      <c r="AG21" s="18" t="n">
        <v>197</v>
      </c>
      <c r="AH21" s="19">
        <f>AD21+AE21+AF21+AG21</f>
        <v/>
      </c>
    </row>
    <row r="22">
      <c r="A22" s="44" t="inlineStr">
        <is>
          <t>青海省</t>
        </is>
      </c>
      <c r="B22" s="50" t="n">
        <v>138.2823480279907</v>
      </c>
      <c r="C22" s="40" t="n">
        <v>138.2823480279907</v>
      </c>
      <c r="D22" s="51" t="n">
        <v>140.7727995523537</v>
      </c>
      <c r="E22" s="40">
        <f>(C22-B22)+C22</f>
        <v/>
      </c>
      <c r="F22" s="41">
        <f>(C22-D22)/C22</f>
        <v/>
      </c>
      <c r="G22" s="44" t="n">
        <v>11931</v>
      </c>
      <c r="H22" s="43" t="n">
        <v>0</v>
      </c>
      <c r="I22" s="16" t="n">
        <v>177</v>
      </c>
      <c r="J22" s="17" t="n">
        <v>110</v>
      </c>
      <c r="K22" s="18" t="n">
        <v>118</v>
      </c>
      <c r="L22" s="19">
        <f>H22+I22+J22+K22</f>
        <v/>
      </c>
      <c r="M22" s="20" t="n">
        <v>4600</v>
      </c>
      <c r="N22" s="21" t="n">
        <v>0</v>
      </c>
      <c r="O22" s="16" t="n">
        <v>74</v>
      </c>
      <c r="P22" s="17" t="n">
        <v>104</v>
      </c>
      <c r="Q22" s="18" t="n">
        <v>118</v>
      </c>
      <c r="R22" s="19">
        <f>N22+O22+P22+Q22</f>
        <v/>
      </c>
      <c r="S22" s="44" t="n">
        <v>7331</v>
      </c>
      <c r="T22" s="43" t="n">
        <v>0</v>
      </c>
      <c r="U22" s="16">
        <f>I22-O22</f>
        <v/>
      </c>
      <c r="V22" s="17" t="n">
        <v>6</v>
      </c>
      <c r="W22" s="19">
        <f>T22+U22+V22</f>
        <v/>
      </c>
      <c r="X22" t="n">
        <v>0</v>
      </c>
      <c r="AC22" s="42" t="n">
        <v>11908</v>
      </c>
      <c r="AD22" s="43" t="n">
        <v>0</v>
      </c>
      <c r="AE22" s="23" t="n">
        <v>177</v>
      </c>
      <c r="AF22" s="24" t="n">
        <v>110</v>
      </c>
      <c r="AG22" s="18" t="n">
        <v>118</v>
      </c>
      <c r="AH22" s="19">
        <f>AD22+AE22+AF22+AG22</f>
        <v/>
      </c>
    </row>
    <row r="23">
      <c r="A23" s="44" t="inlineStr">
        <is>
          <t>山东省</t>
        </is>
      </c>
      <c r="B23" s="50" t="n">
        <v>3919.58263210697</v>
      </c>
      <c r="C23" s="40" t="n">
        <v>3919.58263210697</v>
      </c>
      <c r="D23" s="51" t="n">
        <v>3978.726591811641</v>
      </c>
      <c r="E23" s="40">
        <f>(C23-B23)+C23</f>
        <v/>
      </c>
      <c r="F23" s="41">
        <f>(C23-D23)/C23</f>
        <v/>
      </c>
      <c r="G23" s="44" t="n">
        <v>421481</v>
      </c>
      <c r="H23" s="43" t="n">
        <v>0</v>
      </c>
      <c r="I23" s="16" t="n">
        <v>19714</v>
      </c>
      <c r="J23" s="17" t="n">
        <v>1671</v>
      </c>
      <c r="K23" s="18" t="n">
        <v>2487</v>
      </c>
      <c r="L23" s="19">
        <f>H23+I23+J23+K23</f>
        <v/>
      </c>
      <c r="M23" s="20" t="n">
        <v>174350</v>
      </c>
      <c r="N23" s="21" t="n">
        <v>0</v>
      </c>
      <c r="O23" s="16" t="n">
        <v>6150</v>
      </c>
      <c r="P23" s="17" t="n">
        <v>1616</v>
      </c>
      <c r="Q23" s="18" t="n">
        <v>2487</v>
      </c>
      <c r="R23" s="19">
        <f>N23+O23+P23+Q23</f>
        <v/>
      </c>
      <c r="S23" s="44" t="n">
        <v>247131</v>
      </c>
      <c r="T23" s="43" t="n">
        <v>0</v>
      </c>
      <c r="U23" s="16">
        <f>I23-O23</f>
        <v/>
      </c>
      <c r="V23" s="17" t="n">
        <v>55</v>
      </c>
      <c r="W23" s="19">
        <f>T23+U23+V23</f>
        <v/>
      </c>
      <c r="X23" t="n">
        <v>0</v>
      </c>
      <c r="AC23" s="42" t="n">
        <v>421279</v>
      </c>
      <c r="AD23" s="43" t="n">
        <v>0</v>
      </c>
      <c r="AE23" s="23" t="n">
        <v>19714</v>
      </c>
      <c r="AF23" s="24" t="n">
        <v>1671</v>
      </c>
      <c r="AG23" s="18" t="n">
        <v>2487</v>
      </c>
      <c r="AH23" s="19">
        <f>AD23+AE23+AF23+AG23</f>
        <v/>
      </c>
    </row>
    <row r="24">
      <c r="A24" s="44" t="inlineStr">
        <is>
          <t>山西省</t>
        </is>
      </c>
      <c r="B24" s="50" t="n">
        <v>945.6260869652637</v>
      </c>
      <c r="C24" s="40" t="n">
        <v>945.6260869652637</v>
      </c>
      <c r="D24" s="51" t="n">
        <v>959.6228100749457</v>
      </c>
      <c r="E24" s="40">
        <f>(C24-B24)+C24</f>
        <v/>
      </c>
      <c r="F24" s="41">
        <f>(C24-D24)/C24</f>
        <v/>
      </c>
      <c r="G24" s="44" t="n">
        <v>103608</v>
      </c>
      <c r="H24" s="43" t="n">
        <v>0</v>
      </c>
      <c r="I24" s="16" t="n">
        <v>3315</v>
      </c>
      <c r="J24" s="17" t="n">
        <v>262</v>
      </c>
      <c r="K24" s="18" t="n">
        <v>694</v>
      </c>
      <c r="L24" s="19">
        <f>H24+I24+J24+K24</f>
        <v/>
      </c>
      <c r="M24" s="20" t="n">
        <v>39917</v>
      </c>
      <c r="N24" s="21" t="n">
        <v>0</v>
      </c>
      <c r="O24" s="16" t="n">
        <v>1032</v>
      </c>
      <c r="P24" s="17" t="n">
        <v>243</v>
      </c>
      <c r="Q24" s="18" t="n">
        <v>694</v>
      </c>
      <c r="R24" s="19">
        <f>N24+O24+P24+Q24</f>
        <v/>
      </c>
      <c r="S24" s="44" t="n">
        <v>63691</v>
      </c>
      <c r="T24" s="43" t="n">
        <v>0</v>
      </c>
      <c r="U24" s="16">
        <f>I24-O24</f>
        <v/>
      </c>
      <c r="V24" s="17" t="n">
        <v>19</v>
      </c>
      <c r="W24" s="19">
        <f>T24+U24+V24</f>
        <v/>
      </c>
      <c r="X24" t="n">
        <v>0</v>
      </c>
      <c r="AC24" s="42" t="n">
        <v>103544</v>
      </c>
      <c r="AD24" s="43" t="n">
        <v>0</v>
      </c>
      <c r="AE24" s="23" t="n">
        <v>3315</v>
      </c>
      <c r="AF24" s="24" t="n">
        <v>262</v>
      </c>
      <c r="AG24" s="18" t="n">
        <v>694</v>
      </c>
      <c r="AH24" s="19">
        <f>AD24+AE24+AF24+AG24</f>
        <v/>
      </c>
    </row>
    <row r="25">
      <c r="A25" s="44" t="inlineStr">
        <is>
          <t>陕西省</t>
        </is>
      </c>
      <c r="B25" s="50" t="n">
        <v>1206.7469668678</v>
      </c>
      <c r="C25" s="40" t="n">
        <v>1206.7469668678</v>
      </c>
      <c r="D25" s="51" t="n">
        <v>1225.191833787563</v>
      </c>
      <c r="E25" s="40">
        <f>(C25-B25)+C25</f>
        <v/>
      </c>
      <c r="F25" s="41">
        <f>(C25-D25)/C25</f>
        <v/>
      </c>
      <c r="G25" s="44" t="n">
        <v>153637</v>
      </c>
      <c r="H25" s="43" t="n">
        <v>0</v>
      </c>
      <c r="I25" s="16" t="n">
        <v>4600</v>
      </c>
      <c r="J25" s="17" t="n">
        <v>453</v>
      </c>
      <c r="K25" s="18" t="n">
        <v>760</v>
      </c>
      <c r="L25" s="19">
        <f>H25+I25+J25+K25</f>
        <v/>
      </c>
      <c r="M25" s="20" t="n">
        <v>42527</v>
      </c>
      <c r="N25" s="21" t="n">
        <v>0</v>
      </c>
      <c r="O25" s="16" t="n">
        <v>1315</v>
      </c>
      <c r="P25" s="17" t="n">
        <v>433</v>
      </c>
      <c r="Q25" s="18" t="n">
        <v>760</v>
      </c>
      <c r="R25" s="19">
        <f>N25+O25+P25+Q25</f>
        <v/>
      </c>
      <c r="S25" s="44" t="n">
        <v>111110</v>
      </c>
      <c r="T25" s="43" t="n">
        <v>0</v>
      </c>
      <c r="U25" s="16">
        <f>I25-O25</f>
        <v/>
      </c>
      <c r="V25" s="17" t="n">
        <v>20</v>
      </c>
      <c r="W25" s="19">
        <f>T25+U25+V25</f>
        <v/>
      </c>
      <c r="X25" t="n">
        <v>0</v>
      </c>
      <c r="AC25" s="42" t="n">
        <v>153580</v>
      </c>
      <c r="AD25" s="43" t="n">
        <v>0</v>
      </c>
      <c r="AE25" s="23" t="n">
        <v>4600</v>
      </c>
      <c r="AF25" s="24" t="n">
        <v>453</v>
      </c>
      <c r="AG25" s="18" t="n">
        <v>760</v>
      </c>
      <c r="AH25" s="19">
        <f>AD25+AE25+AF25+AG25</f>
        <v/>
      </c>
    </row>
    <row r="26">
      <c r="A26" s="44" t="inlineStr">
        <is>
          <t>上海市</t>
        </is>
      </c>
      <c r="B26" s="50" t="n">
        <v>10244.75029354755</v>
      </c>
      <c r="C26" s="40" t="n">
        <v>10244.75029354755</v>
      </c>
      <c r="D26" s="51" t="n">
        <v>10386.4739887236</v>
      </c>
      <c r="E26" s="40">
        <f>(C26-B26)+C26</f>
        <v/>
      </c>
      <c r="F26" s="41">
        <f>(C26-D26)/C26</f>
        <v/>
      </c>
      <c r="G26" s="44" t="n">
        <v>173461</v>
      </c>
      <c r="H26" s="43" t="n">
        <v>0</v>
      </c>
      <c r="I26" s="16" t="n">
        <v>5406</v>
      </c>
      <c r="J26" s="17" t="n">
        <v>49</v>
      </c>
      <c r="K26" s="18" t="n">
        <v>3530</v>
      </c>
      <c r="L26" s="19">
        <f>H26+I26+J26+K26</f>
        <v/>
      </c>
      <c r="M26" s="20" t="n">
        <v>159277</v>
      </c>
      <c r="N26" s="21" t="n">
        <v>0</v>
      </c>
      <c r="O26" s="16" t="n">
        <v>5013</v>
      </c>
      <c r="P26" s="17" t="n">
        <v>40</v>
      </c>
      <c r="Q26" s="18" t="n">
        <v>3530</v>
      </c>
      <c r="R26" s="19">
        <f>N26+O26+P26+Q26</f>
        <v/>
      </c>
      <c r="S26" s="44" t="n">
        <v>14184</v>
      </c>
      <c r="T26" s="43" t="n">
        <v>0</v>
      </c>
      <c r="U26" s="16">
        <f>I26-O26</f>
        <v/>
      </c>
      <c r="V26" s="17" t="n">
        <v>9</v>
      </c>
      <c r="W26" s="19">
        <f>T26+U26+V26</f>
        <v/>
      </c>
      <c r="X26" t="n">
        <v>0</v>
      </c>
      <c r="AC26" s="42" t="n">
        <v>173288</v>
      </c>
      <c r="AD26" s="43" t="n">
        <v>0</v>
      </c>
      <c r="AE26" s="23" t="n">
        <v>5406</v>
      </c>
      <c r="AF26" s="24" t="n">
        <v>49</v>
      </c>
      <c r="AG26" s="18" t="n">
        <v>3530</v>
      </c>
      <c r="AH26" s="19">
        <f>AD26+AE26+AF26+AG26</f>
        <v/>
      </c>
    </row>
    <row r="27">
      <c r="A27" s="44" t="inlineStr">
        <is>
          <t>四川省</t>
        </is>
      </c>
      <c r="B27" s="50" t="n">
        <v>4801.806911608739</v>
      </c>
      <c r="C27" s="40" t="n">
        <v>4801.806911608739</v>
      </c>
      <c r="D27" s="51" t="n">
        <v>4859.521888816273</v>
      </c>
      <c r="E27" s="40">
        <f>(C27-B27)+C27</f>
        <v/>
      </c>
      <c r="F27" s="41">
        <f>(C27-D27)/C27</f>
        <v/>
      </c>
      <c r="G27" s="44" t="n">
        <v>296960</v>
      </c>
      <c r="H27" s="43" t="n">
        <v>0</v>
      </c>
      <c r="I27" s="16" t="n">
        <v>8109</v>
      </c>
      <c r="J27" s="17" t="n">
        <v>156</v>
      </c>
      <c r="K27" s="18" t="n">
        <v>2930</v>
      </c>
      <c r="L27" s="19">
        <f>H27+I27+J27+K27</f>
        <v/>
      </c>
      <c r="M27" s="20" t="n">
        <v>153654</v>
      </c>
      <c r="N27" s="21" t="n">
        <v>0</v>
      </c>
      <c r="O27" s="16" t="n">
        <v>3332</v>
      </c>
      <c r="P27" s="17" t="n">
        <v>96</v>
      </c>
      <c r="Q27" s="18" t="n">
        <v>2930</v>
      </c>
      <c r="R27" s="19">
        <f>N27+O27+P27+Q27</f>
        <v/>
      </c>
      <c r="S27" s="44" t="n">
        <v>143306</v>
      </c>
      <c r="T27" s="43" t="n">
        <v>0</v>
      </c>
      <c r="U27" s="16">
        <f>I27-O27</f>
        <v/>
      </c>
      <c r="V27" s="17" t="n">
        <v>60</v>
      </c>
      <c r="W27" s="19">
        <f>T27+U27+V27</f>
        <v/>
      </c>
      <c r="X27" t="n">
        <v>0</v>
      </c>
      <c r="AC27" s="42" t="n">
        <v>296765</v>
      </c>
      <c r="AD27" s="43" t="n">
        <v>0</v>
      </c>
      <c r="AE27" s="23" t="n">
        <v>8109</v>
      </c>
      <c r="AF27" s="24" t="n">
        <v>156</v>
      </c>
      <c r="AG27" s="18" t="n">
        <v>2930</v>
      </c>
      <c r="AH27" s="19">
        <f>AD27+AE27+AF27+AG27</f>
        <v/>
      </c>
    </row>
    <row r="28">
      <c r="A28" s="44" t="inlineStr">
        <is>
          <t>天津市</t>
        </is>
      </c>
      <c r="B28" s="50" t="n">
        <v>1546.297395128442</v>
      </c>
      <c r="C28" s="40" t="n">
        <v>1546.297395128442</v>
      </c>
      <c r="D28" s="51" t="n">
        <v>1561.648584281209</v>
      </c>
      <c r="E28" s="40">
        <f>(C28-B28)+C28</f>
        <v/>
      </c>
      <c r="F28" s="41">
        <f>(C28-D28)/C28</f>
        <v/>
      </c>
      <c r="G28" s="44" t="n">
        <v>47474</v>
      </c>
      <c r="H28" s="43" t="n">
        <v>0</v>
      </c>
      <c r="I28" s="16" t="n">
        <v>1744</v>
      </c>
      <c r="J28" s="17" t="n">
        <v>338</v>
      </c>
      <c r="K28" s="18" t="n">
        <v>573</v>
      </c>
      <c r="L28" s="19">
        <f>H28+I28+J28+K28</f>
        <v/>
      </c>
      <c r="M28" s="20" t="n">
        <v>28453</v>
      </c>
      <c r="N28" s="21" t="n">
        <v>0</v>
      </c>
      <c r="O28" s="16" t="n">
        <v>818</v>
      </c>
      <c r="P28" s="17" t="n">
        <v>332</v>
      </c>
      <c r="Q28" s="18" t="n">
        <v>573</v>
      </c>
      <c r="R28" s="19">
        <f>N28+O28+P28+Q28</f>
        <v/>
      </c>
      <c r="S28" s="44" t="n">
        <v>19021</v>
      </c>
      <c r="T28" s="43" t="n">
        <v>0</v>
      </c>
      <c r="U28" s="16">
        <f>I28-O28</f>
        <v/>
      </c>
      <c r="V28" s="17" t="n">
        <v>6</v>
      </c>
      <c r="W28" s="19">
        <f>T28+U28+V28</f>
        <v/>
      </c>
      <c r="X28" t="n">
        <v>0</v>
      </c>
      <c r="AC28" s="42" t="n">
        <v>47437</v>
      </c>
      <c r="AD28" s="43" t="n">
        <v>0</v>
      </c>
      <c r="AE28" s="23" t="n">
        <v>1744</v>
      </c>
      <c r="AF28" s="24" t="n">
        <v>338</v>
      </c>
      <c r="AG28" s="18" t="n">
        <v>573</v>
      </c>
      <c r="AH28" s="19">
        <f>AD28+AE28+AF28+AG28</f>
        <v/>
      </c>
    </row>
    <row r="29">
      <c r="A29" s="44" t="inlineStr">
        <is>
          <t>西藏自治区</t>
        </is>
      </c>
      <c r="B29" s="50" t="n">
        <v>52.26643093977359</v>
      </c>
      <c r="C29" s="40" t="n">
        <v>52.26643093977359</v>
      </c>
      <c r="D29" s="51" t="n">
        <v>52.90989056113968</v>
      </c>
      <c r="E29" s="40">
        <f>(C29-B29)+C29</f>
        <v/>
      </c>
      <c r="F29" s="41">
        <f>(C29-D29)/C29</f>
        <v/>
      </c>
      <c r="G29" s="44" t="n">
        <v>3572</v>
      </c>
      <c r="H29" s="43" t="n">
        <v>0</v>
      </c>
      <c r="I29" s="16" t="n">
        <v>23</v>
      </c>
      <c r="J29" s="17" t="n">
        <v>2</v>
      </c>
      <c r="K29" s="18" t="n">
        <v>41</v>
      </c>
      <c r="L29" s="19">
        <f>H29+I29+J29+K29</f>
        <v/>
      </c>
      <c r="M29" s="20" t="n">
        <v>1324</v>
      </c>
      <c r="N29" s="21" t="n">
        <v>0</v>
      </c>
      <c r="O29" s="16" t="n">
        <v>20</v>
      </c>
      <c r="P29" s="17" t="n">
        <v>1</v>
      </c>
      <c r="Q29" s="18" t="n">
        <v>41</v>
      </c>
      <c r="R29" s="19">
        <f>N29+O29+P29+Q29</f>
        <v/>
      </c>
      <c r="S29" s="44" t="n">
        <v>2248</v>
      </c>
      <c r="T29" s="43" t="n">
        <v>0</v>
      </c>
      <c r="U29" s="16">
        <f>I29-O29</f>
        <v/>
      </c>
      <c r="V29" s="17" t="n">
        <v>1</v>
      </c>
      <c r="W29" s="19">
        <f>T29+U29+V29</f>
        <v/>
      </c>
      <c r="X29" t="n">
        <v>0</v>
      </c>
      <c r="AC29" s="42" t="n">
        <v>3564</v>
      </c>
      <c r="AD29" s="43" t="n">
        <v>0</v>
      </c>
      <c r="AE29" s="23" t="n">
        <v>23</v>
      </c>
      <c r="AF29" s="24" t="n">
        <v>2</v>
      </c>
      <c r="AG29" s="18" t="n">
        <v>41</v>
      </c>
      <c r="AH29" s="19">
        <f>AD29+AE29+AF29+AG29</f>
        <v/>
      </c>
    </row>
    <row r="30">
      <c r="A30" s="44" t="inlineStr">
        <is>
          <t>新疆维吾尔自治区</t>
        </is>
      </c>
      <c r="B30" s="50" t="n">
        <v>943.9748751673463</v>
      </c>
      <c r="C30" s="40" t="n">
        <v>943.9748751673463</v>
      </c>
      <c r="D30" s="51" t="n">
        <v>957.8258992542545</v>
      </c>
      <c r="E30" s="40">
        <f>(C30-B30)+C30</f>
        <v/>
      </c>
      <c r="F30" s="41">
        <f>(C30-D30)/C30</f>
        <v/>
      </c>
      <c r="G30" s="44" t="n">
        <v>88781</v>
      </c>
      <c r="H30" s="43" t="n">
        <v>0</v>
      </c>
      <c r="I30" s="16" t="n">
        <v>1024</v>
      </c>
      <c r="J30" s="17" t="n">
        <v>354</v>
      </c>
      <c r="K30" s="18" t="n">
        <v>554</v>
      </c>
      <c r="L30" s="19">
        <f>H30+I30+J30+K30</f>
        <v/>
      </c>
      <c r="M30" s="20" t="n">
        <v>22789</v>
      </c>
      <c r="N30" s="21" t="n">
        <v>0</v>
      </c>
      <c r="O30" s="16" t="n">
        <v>336</v>
      </c>
      <c r="P30" s="17" t="n">
        <v>325</v>
      </c>
      <c r="Q30" s="18" t="n">
        <v>554</v>
      </c>
      <c r="R30" s="19">
        <f>N30+O30+P30+Q30</f>
        <v/>
      </c>
      <c r="S30" s="44" t="n">
        <v>65992</v>
      </c>
      <c r="T30" s="43" t="n">
        <v>0</v>
      </c>
      <c r="U30" s="16">
        <f>I30-O30</f>
        <v/>
      </c>
      <c r="V30" s="17" t="n">
        <v>29</v>
      </c>
      <c r="W30" s="19">
        <f>T30+U30+V30</f>
        <v/>
      </c>
      <c r="X30" t="n">
        <v>0</v>
      </c>
      <c r="AC30" s="42" t="n">
        <v>88719</v>
      </c>
      <c r="AD30" s="43" t="n">
        <v>0</v>
      </c>
      <c r="AE30" s="23" t="n">
        <v>1024</v>
      </c>
      <c r="AF30" s="24" t="n">
        <v>354</v>
      </c>
      <c r="AG30" s="18" t="n">
        <v>554</v>
      </c>
      <c r="AH30" s="19">
        <f>AD30+AE30+AF30+AG30</f>
        <v/>
      </c>
    </row>
    <row r="31">
      <c r="A31" s="44" t="inlineStr">
        <is>
          <t>云南省</t>
        </is>
      </c>
      <c r="B31" s="50" t="n">
        <v>1841.41856487242</v>
      </c>
      <c r="C31" s="40" t="n">
        <v>1841.41856487242</v>
      </c>
      <c r="D31" s="51" t="n">
        <v>1866.313291549808</v>
      </c>
      <c r="E31" s="40">
        <f>(C31-B31)+C31</f>
        <v/>
      </c>
      <c r="F31" s="41">
        <f>(C31-D31)/C31</f>
        <v/>
      </c>
      <c r="G31" s="44" t="n">
        <v>177907</v>
      </c>
      <c r="H31" s="43" t="n">
        <v>0</v>
      </c>
      <c r="I31" s="16" t="n">
        <v>9121</v>
      </c>
      <c r="J31" s="17" t="n">
        <v>584</v>
      </c>
      <c r="K31" s="18" t="n">
        <v>988</v>
      </c>
      <c r="L31" s="19">
        <f>H31+I31+J31+K31</f>
        <v/>
      </c>
      <c r="M31" s="20" t="n">
        <v>61176</v>
      </c>
      <c r="N31" s="21" t="n">
        <v>0</v>
      </c>
      <c r="O31" s="16" t="n">
        <v>2596</v>
      </c>
      <c r="P31" s="17" t="n">
        <v>539</v>
      </c>
      <c r="Q31" s="18" t="n">
        <v>988</v>
      </c>
      <c r="R31" s="19">
        <f>N31+O31+P31+Q31</f>
        <v/>
      </c>
      <c r="S31" s="44" t="n">
        <v>116731</v>
      </c>
      <c r="T31" s="43" t="n">
        <v>0</v>
      </c>
      <c r="U31" s="16">
        <f>I31-O31</f>
        <v/>
      </c>
      <c r="V31" s="17" t="n">
        <v>45</v>
      </c>
      <c r="W31" s="19">
        <f>T31+U31+V31</f>
        <v/>
      </c>
      <c r="X31" t="n">
        <v>0</v>
      </c>
      <c r="AC31" s="42" t="n">
        <v>177782</v>
      </c>
      <c r="AD31" s="43" t="n">
        <v>0</v>
      </c>
      <c r="AE31" s="23" t="n">
        <v>9121</v>
      </c>
      <c r="AF31" s="24" t="n">
        <v>584</v>
      </c>
      <c r="AG31" s="18" t="n">
        <v>988</v>
      </c>
      <c r="AH31" s="19">
        <f>AD31+AE31+AF31+AG31</f>
        <v/>
      </c>
    </row>
    <row r="32">
      <c r="A32" s="44" t="inlineStr">
        <is>
          <t>浙江省</t>
        </is>
      </c>
      <c r="B32" s="50" t="n">
        <v>9146.367357932077</v>
      </c>
      <c r="C32" s="40" t="n">
        <v>9146.367357932077</v>
      </c>
      <c r="D32" s="51" t="n">
        <v>9254.815455559112</v>
      </c>
      <c r="E32" s="40">
        <f>(C32-B32)+C32</f>
        <v/>
      </c>
      <c r="F32" s="41">
        <f>(C32-D32)/C32</f>
        <v/>
      </c>
      <c r="G32" s="44" t="n">
        <v>359801</v>
      </c>
      <c r="H32" s="43" t="n">
        <v>0</v>
      </c>
      <c r="I32" s="16" t="n">
        <v>33072</v>
      </c>
      <c r="J32" s="17" t="n">
        <v>125</v>
      </c>
      <c r="K32" s="18" t="n">
        <v>3773</v>
      </c>
      <c r="L32" s="19">
        <f>H32+I32+J32+K32</f>
        <v/>
      </c>
      <c r="M32" s="20" t="n">
        <v>187176</v>
      </c>
      <c r="N32" s="21" t="n">
        <v>0</v>
      </c>
      <c r="O32" s="16" t="n">
        <v>9526</v>
      </c>
      <c r="P32" s="17" t="n">
        <v>69</v>
      </c>
      <c r="Q32" s="18" t="n">
        <v>3773</v>
      </c>
      <c r="R32" s="19">
        <f>N32+O32+P32+Q32</f>
        <v/>
      </c>
      <c r="S32" s="44" t="n">
        <v>172625</v>
      </c>
      <c r="T32" s="43" t="n">
        <v>0</v>
      </c>
      <c r="U32" s="16">
        <f>I32-O32</f>
        <v/>
      </c>
      <c r="V32" s="17" t="n">
        <v>56</v>
      </c>
      <c r="W32" s="19">
        <f>T32+U32+V32</f>
        <v/>
      </c>
      <c r="X32" t="n">
        <v>0</v>
      </c>
      <c r="AC32" s="42" t="n">
        <v>359609</v>
      </c>
      <c r="AD32" s="43" t="n">
        <v>0</v>
      </c>
      <c r="AE32" s="23" t="n">
        <v>33072</v>
      </c>
      <c r="AF32" s="24" t="n">
        <v>125</v>
      </c>
      <c r="AG32" s="18" t="n">
        <v>3773</v>
      </c>
      <c r="AH32" s="19">
        <f>AD32+AE32+AF32+AG32</f>
        <v/>
      </c>
    </row>
    <row r="33">
      <c r="A33" s="44" t="inlineStr">
        <is>
          <t>重庆市</t>
        </is>
      </c>
      <c r="B33" s="50" t="n">
        <v>2252.958562477835</v>
      </c>
      <c r="C33" s="40" t="n">
        <v>2252.958562477835</v>
      </c>
      <c r="D33" s="51" t="n">
        <v>2280.833781572004</v>
      </c>
      <c r="E33" s="40">
        <f>(C33-B33)+C33</f>
        <v/>
      </c>
      <c r="F33" s="41">
        <f>(C33-D33)/C33</f>
        <v/>
      </c>
      <c r="G33" s="44" t="n">
        <v>109624</v>
      </c>
      <c r="H33" s="43" t="n">
        <v>0</v>
      </c>
      <c r="I33" s="16" t="n">
        <v>3219</v>
      </c>
      <c r="J33" s="17" t="n">
        <v>410</v>
      </c>
      <c r="K33" s="18" t="n">
        <v>1176</v>
      </c>
      <c r="L33" s="19">
        <f>H33+I33+J33+K33</f>
        <v/>
      </c>
      <c r="M33" s="20" t="n">
        <v>60205</v>
      </c>
      <c r="N33" s="21" t="n">
        <v>0</v>
      </c>
      <c r="O33" s="16" t="n">
        <v>1617</v>
      </c>
      <c r="P33" s="17" t="n">
        <v>395</v>
      </c>
      <c r="Q33" s="18" t="n">
        <v>1176</v>
      </c>
      <c r="R33" s="19">
        <f>N33+O33+P33+Q33</f>
        <v/>
      </c>
      <c r="S33" s="44" t="n">
        <v>49419</v>
      </c>
      <c r="T33" s="43" t="n">
        <v>0</v>
      </c>
      <c r="U33" s="16">
        <f>I33-O33</f>
        <v/>
      </c>
      <c r="V33" s="17" t="n">
        <v>15</v>
      </c>
      <c r="W33" s="19">
        <f>T33+U33+V33</f>
        <v/>
      </c>
      <c r="X33" t="n">
        <v>0</v>
      </c>
      <c r="AC33" s="42" t="n">
        <v>109549</v>
      </c>
      <c r="AD33" s="43" t="n">
        <v>0</v>
      </c>
      <c r="AE33" s="23" t="n">
        <v>3219</v>
      </c>
      <c r="AF33" s="24" t="n">
        <v>410</v>
      </c>
      <c r="AG33" s="18" t="n">
        <v>1176</v>
      </c>
      <c r="AH33" s="19">
        <f>AD33+AE33+AF33+AG33</f>
        <v/>
      </c>
    </row>
    <row r="34">
      <c r="A34" s="26" t="inlineStr">
        <is>
          <t>全国</t>
        </is>
      </c>
      <c r="B34" s="52" t="n">
        <v>6087197.123366396</v>
      </c>
      <c r="C34" s="28" t="n">
        <v>6087197.123366396</v>
      </c>
      <c r="D34" s="53" t="n">
        <v>6354256.25619126</v>
      </c>
      <c r="E34" s="28">
        <f>(C34-B34)+C34</f>
        <v/>
      </c>
      <c r="F34" s="30">
        <f>(C34-D34)/C34</f>
        <v/>
      </c>
      <c r="G34" s="26" t="n">
        <v>54517466</v>
      </c>
      <c r="H34" s="31" t="n">
        <v>0</v>
      </c>
      <c r="I34" s="31" t="n">
        <v>351416</v>
      </c>
      <c r="J34" s="31" t="n">
        <v>16030</v>
      </c>
      <c r="K34" s="31" t="n">
        <v>55275</v>
      </c>
      <c r="L34" s="31">
        <f>H34+I34+J34+K34</f>
        <v/>
      </c>
      <c r="M34" s="32" t="n">
        <v>2980449</v>
      </c>
      <c r="N34" s="33" t="n">
        <v>0</v>
      </c>
      <c r="O34" s="31" t="n">
        <v>106402</v>
      </c>
      <c r="P34" s="31" t="n">
        <v>14514</v>
      </c>
      <c r="Q34" s="31" t="n">
        <v>55275</v>
      </c>
      <c r="R34" s="31">
        <f>N34+O34+P34+Q34</f>
        <v/>
      </c>
      <c r="S34" s="32" t="n">
        <v>4020734</v>
      </c>
      <c r="T34" s="31" t="n">
        <v>0</v>
      </c>
      <c r="U34" s="31" t="n">
        <v>240028</v>
      </c>
      <c r="V34" s="31" t="n">
        <v>1244</v>
      </c>
      <c r="W34" s="31">
        <f>T34+U34+V34</f>
        <v/>
      </c>
      <c r="X34" s="32" t="n">
        <v>47516283</v>
      </c>
      <c r="Y34" s="34" t="n">
        <v>0</v>
      </c>
      <c r="Z34" s="34" t="n">
        <v>4986</v>
      </c>
      <c r="AA34" s="34" t="n">
        <v>272</v>
      </c>
      <c r="AB34" s="34">
        <f>Y34+Z34+AA34</f>
        <v/>
      </c>
      <c r="AC34" s="35" t="n">
        <v>6996529</v>
      </c>
      <c r="AD34" s="31" t="n">
        <v>0</v>
      </c>
      <c r="AE34" s="34" t="n">
        <v>346430</v>
      </c>
      <c r="AF34" s="34" t="n">
        <v>15758</v>
      </c>
      <c r="AG34" s="31" t="n">
        <v>55275</v>
      </c>
      <c r="AH34" s="31">
        <f>AD34+AE34+AF34+AG34</f>
        <v/>
      </c>
    </row>
    <row r="35" ht="96" customFormat="1" customHeight="1" s="44">
      <c r="A35" s="36" t="n"/>
      <c r="B35" s="50" t="n"/>
      <c r="C35" s="38" t="inlineStr">
        <is>
          <t>全国维度逻辑：9折+0费的全国所有小微企业+个体工商户+有交易行为的个人+其他类的累积让利金额总和</t>
        </is>
      </c>
      <c r="D35" s="51" t="n"/>
      <c r="E35" s="40" t="n"/>
      <c r="F35" s="41" t="n"/>
      <c r="G35" s="42" t="n"/>
      <c r="H35" s="43" t="n"/>
      <c r="I35" s="43" t="n"/>
      <c r="J35" s="43" t="n"/>
      <c r="K35" s="43" t="n"/>
      <c r="L35" s="43" t="n"/>
      <c r="M35" s="42" t="n"/>
      <c r="N35" s="43" t="n"/>
      <c r="O35" s="43" t="n"/>
      <c r="P35" s="43" t="n"/>
      <c r="Q35" s="43" t="n"/>
      <c r="R35" s="43" t="n"/>
      <c r="S35" s="42" t="n"/>
      <c r="T35" s="43" t="n"/>
      <c r="U35" s="43" t="n"/>
      <c r="V35" s="43" t="n"/>
      <c r="W35" s="43" t="n"/>
      <c r="AC35" s="42" t="n"/>
      <c r="AD35" s="43" t="n"/>
      <c r="AE35" s="43" t="n"/>
      <c r="AF35" s="43" t="n"/>
      <c r="AG35" s="43" t="n"/>
      <c r="AH35" s="43" t="n"/>
    </row>
    <row r="36" customFormat="1" s="44">
      <c r="A36" s="36" t="n"/>
      <c r="B36" s="50" t="n"/>
      <c r="C36" s="40" t="n"/>
      <c r="D36" s="51" t="n"/>
      <c r="E36" s="40" t="n"/>
      <c r="F36" s="41" t="n"/>
      <c r="G36" s="42" t="n"/>
      <c r="H36" s="43" t="n"/>
      <c r="I36" s="43" t="n"/>
      <c r="J36" s="43" t="n"/>
      <c r="K36" s="43" t="n"/>
      <c r="L36" s="43" t="n"/>
      <c r="M36" s="42" t="n"/>
      <c r="N36" s="43" t="n"/>
      <c r="O36" s="43" t="n"/>
      <c r="P36" s="43" t="n"/>
      <c r="Q36" s="43" t="n"/>
      <c r="R36" s="43" t="n"/>
      <c r="S36" s="42" t="n"/>
      <c r="T36" s="43" t="n"/>
      <c r="U36" s="43" t="n"/>
      <c r="V36" s="43" t="n"/>
      <c r="W36" s="43" t="n"/>
      <c r="AC36" s="42" t="n"/>
      <c r="AD36" s="43" t="n"/>
      <c r="AE36" s="43" t="n"/>
      <c r="AF36" s="43" t="n"/>
      <c r="AG36" s="43" t="n"/>
      <c r="AH36" s="43" t="n"/>
    </row>
    <row r="37" customFormat="1" s="44">
      <c r="A37" s="36" t="n"/>
      <c r="B37" s="50" t="n"/>
      <c r="C37" s="40" t="n"/>
      <c r="D37" s="51" t="n"/>
      <c r="E37" s="40" t="n"/>
      <c r="F37" s="41" t="n"/>
      <c r="G37" s="42" t="n"/>
      <c r="H37" s="43" t="n"/>
      <c r="I37" s="43" t="n"/>
      <c r="J37" s="43" t="n"/>
      <c r="K37" s="43" t="n"/>
      <c r="L37" s="43" t="n"/>
      <c r="M37" s="42" t="n"/>
      <c r="N37" s="43" t="n"/>
      <c r="O37" s="43" t="n"/>
      <c r="P37" s="43" t="n"/>
      <c r="Q37" s="43" t="n"/>
      <c r="R37" s="43" t="n"/>
      <c r="S37" s="42" t="n"/>
      <c r="T37" s="43" t="n"/>
      <c r="U37" s="43" t="n"/>
      <c r="V37" s="43" t="n"/>
      <c r="W37" s="43" t="n"/>
      <c r="AC37" s="42" t="n"/>
      <c r="AD37" s="43" t="n"/>
      <c r="AE37" s="43" t="n"/>
      <c r="AF37" s="43" t="n"/>
      <c r="AG37" s="43" t="n"/>
      <c r="AH37" s="43" t="n"/>
    </row>
    <row r="38" ht="51" customFormat="1" customHeight="1" s="44">
      <c r="A38" s="36" t="n"/>
      <c r="B38" s="50" t="n"/>
      <c r="C38" s="40" t="n"/>
      <c r="D38" s="9" t="inlineStr">
        <is>
          <t>其他类商户数逻辑：9折+0费的全国所有其他类的商户数之和</t>
        </is>
      </c>
      <c r="E38" s="40" t="n"/>
      <c r="F38" s="41" t="n"/>
      <c r="G38" s="42" t="n"/>
      <c r="H38" s="43" t="n"/>
      <c r="I38" s="43" t="n"/>
      <c r="J38" s="43" t="n"/>
      <c r="K38" s="43" t="n"/>
      <c r="L38" s="43" t="n"/>
      <c r="M38" s="42" t="n"/>
      <c r="N38" s="43" t="n"/>
      <c r="O38" s="43" t="n"/>
      <c r="P38" s="43" t="n"/>
      <c r="Q38" s="43" t="n"/>
      <c r="R38" s="43" t="n"/>
      <c r="S38" s="42" t="n"/>
      <c r="T38" s="43" t="n"/>
      <c r="U38" s="43" t="n"/>
      <c r="V38" s="43" t="n"/>
      <c r="W38" s="43" t="n"/>
      <c r="AC38" s="42" t="n"/>
      <c r="AD38" s="43" t="n"/>
      <c r="AE38" s="43" t="n"/>
      <c r="AF38" s="43" t="n"/>
      <c r="AG38" s="43" t="n"/>
      <c r="AH38" s="43" t="n"/>
    </row>
    <row r="39" ht="53" customHeight="1" s="49">
      <c r="A39" s="45" t="inlineStr">
        <is>
          <t>全国【其他类】商户数</t>
        </is>
      </c>
      <c r="B39" s="10" t="inlineStr">
        <is>
          <t>【教培行业】取消降费活动，转移至0.38%费率部分商户数</t>
        </is>
      </c>
      <c r="C39" s="17" t="n">
        <v>2048</v>
      </c>
      <c r="D39" s="43" t="n">
        <v>0</v>
      </c>
      <c r="E39" s="17">
        <f>D39+C39</f>
        <v/>
      </c>
    </row>
    <row r="40"/>
    <row r="41"/>
    <row r="42">
      <c r="A42" s="9" t="n"/>
      <c r="B42" s="54" t="n"/>
    </row>
    <row r="43"/>
    <row r="44">
      <c r="A44" s="9" t="n"/>
    </row>
    <row r="45">
      <c r="A45" s="9" t="n"/>
      <c r="B45" s="54" t="n"/>
      <c r="E45" s="9" t="n"/>
    </row>
    <row r="46"/>
    <row r="47">
      <c r="A47" s="9" t="n"/>
      <c r="B47" s="54" t="n"/>
      <c r="E47" s="9" t="n"/>
    </row>
    <row r="48"/>
    <row r="49">
      <c r="A49" s="9" t="n"/>
      <c r="B49" s="54" t="n"/>
      <c r="E49" s="9" t="n"/>
    </row>
    <row r="50"/>
    <row r="51">
      <c r="A51" s="9" t="n"/>
      <c r="B51" s="54" t="n"/>
      <c r="E51" s="9" t="n"/>
    </row>
    <row r="52"/>
    <row r="53">
      <c r="A53" s="9" t="n"/>
      <c r="B53" s="54" t="n"/>
      <c r="E53" s="9" t="n"/>
    </row>
    <row r="54"/>
    <row r="55">
      <c r="A55" s="9" t="n"/>
      <c r="B55" s="54" t="n"/>
      <c r="E55" s="9" t="n"/>
    </row>
    <row r="56"/>
    <row r="57">
      <c r="A57" s="9" t="n"/>
      <c r="B57" s="54" t="n"/>
      <c r="E57" s="9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T156378</dc:creator>
  <dcterms:created xmlns:dcterms="http://purl.org/dc/terms/" xmlns:xsi="http://www.w3.org/2001/XMLSchema-instance" xsi:type="dcterms:W3CDTF">2026-02-25T06:01:12Z</dcterms:created>
  <dcterms:modified xmlns:dcterms="http://purl.org/dc/terms/" xmlns:xsi="http://www.w3.org/2001/XMLSchema-instance" xsi:type="dcterms:W3CDTF">2026-02-25T09:19:13Z</dcterms:modified>
  <cp:lastModifiedBy>T156378</cp:lastModifiedBy>
</cp:coreProperties>
</file>