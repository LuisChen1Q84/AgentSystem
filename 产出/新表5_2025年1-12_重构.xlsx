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40" yWindow="2800" windowWidth="27300" windowHeight="16360" tabRatio="600" firstSheet="0" activeTab="0" autoFilterDateGrouping="1"/>
  </bookViews>
  <sheets>
    <sheet xmlns:r="http://schemas.openxmlformats.org/officeDocument/2006/relationships" name="2025年1月" sheetId="1" state="visible" r:id="rId1"/>
    <sheet xmlns:r="http://schemas.openxmlformats.org/officeDocument/2006/relationships" name="2025年2月" sheetId="2" state="visible" r:id="rId2"/>
    <sheet xmlns:r="http://schemas.openxmlformats.org/officeDocument/2006/relationships" name="2025年3月" sheetId="3" state="visible" r:id="rId3"/>
    <sheet xmlns:r="http://schemas.openxmlformats.org/officeDocument/2006/relationships" name="2025年4月" sheetId="4" state="visible" r:id="rId4"/>
    <sheet xmlns:r="http://schemas.openxmlformats.org/officeDocument/2006/relationships" name="2025年5月" sheetId="5" state="visible" r:id="rId5"/>
    <sheet xmlns:r="http://schemas.openxmlformats.org/officeDocument/2006/relationships" name="2025年6月" sheetId="6" state="visible" r:id="rId6"/>
    <sheet xmlns:r="http://schemas.openxmlformats.org/officeDocument/2006/relationships" name="2025年7月" sheetId="7" state="visible" r:id="rId7"/>
    <sheet xmlns:r="http://schemas.openxmlformats.org/officeDocument/2006/relationships" name="2025年8月" sheetId="8" state="visible" r:id="rId8"/>
    <sheet xmlns:r="http://schemas.openxmlformats.org/officeDocument/2006/relationships" name="2025年9月" sheetId="9" state="visible" r:id="rId9"/>
    <sheet xmlns:r="http://schemas.openxmlformats.org/officeDocument/2006/relationships" name="2025年10月" sheetId="10" state="visible" r:id="rId10"/>
    <sheet xmlns:r="http://schemas.openxmlformats.org/officeDocument/2006/relationships" name="2025年11月" sheetId="11" state="visible" r:id="rId11"/>
    <sheet xmlns:r="http://schemas.openxmlformats.org/officeDocument/2006/relationships" name="2025年12月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00_ "/>
  </numFmts>
  <fonts count="8">
    <font>
      <name val="等线"/>
      <charset val="134"/>
      <family val="2"/>
      <color theme="1"/>
      <sz val="12"/>
      <scheme val="minor"/>
    </font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40" fontId="7" fillId="7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0" fontId="0" fillId="6" borderId="0" applyAlignment="1" pivotButton="0" quotePrefix="0" xfId="1">
      <alignment vertical="center"/>
    </xf>
    <xf numFmtId="0" fontId="7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2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3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4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5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6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7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8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9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10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11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comments/comment12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"/>
  <sheetViews>
    <sheetView tabSelected="1" workbookViewId="0">
      <selection activeCell="E38" sqref="E38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1940.323033369635</v>
      </c>
      <c r="C3" s="40" t="n">
        <v>1975.157267481803</v>
      </c>
      <c r="D3" s="51" t="n">
        <v>1975.293974032923</v>
      </c>
      <c r="E3" s="40">
        <f>(C3-B3)+C3</f>
        <v/>
      </c>
      <c r="F3" s="41">
        <f>(C3-D3)/C3</f>
        <v/>
      </c>
      <c r="G3" s="44" t="n">
        <v>150141</v>
      </c>
      <c r="H3" s="43" t="n">
        <v>152599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68669</v>
      </c>
      <c r="N3" s="21" t="n">
        <v>69786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81472</v>
      </c>
      <c r="T3" s="43" t="n">
        <v>82813</v>
      </c>
      <c r="U3" s="16">
        <f>M3-S3</f>
        <v/>
      </c>
      <c r="V3" s="17" t="n">
        <v>36</v>
      </c>
      <c r="W3" s="19">
        <f>T3+U3+V3</f>
        <v/>
      </c>
      <c r="AC3" s="42" t="n">
        <v>150067</v>
      </c>
      <c r="AD3" s="43" t="n">
        <v>152525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77913.1211611982</v>
      </c>
      <c r="C4" s="40" t="n">
        <v>81712.78138064229</v>
      </c>
      <c r="D4" s="51" t="n">
        <v>80067.58686349828</v>
      </c>
      <c r="E4" s="40">
        <f>(C4-B4)+C4</f>
        <v/>
      </c>
      <c r="F4" s="41">
        <f>(C4-D4)/C4</f>
        <v/>
      </c>
      <c r="G4" s="44" t="n">
        <v>166240</v>
      </c>
      <c r="H4" s="43" t="n">
        <v>168291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158929</v>
      </c>
      <c r="N4" s="21" t="n">
        <v>160864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7311</v>
      </c>
      <c r="T4" s="43" t="n">
        <v>7427</v>
      </c>
      <c r="U4" s="16">
        <f>M4-S4</f>
        <v/>
      </c>
      <c r="V4" s="17" t="n">
        <v>6</v>
      </c>
      <c r="W4" s="19">
        <f>T4+U4+V4</f>
        <v/>
      </c>
      <c r="AC4" s="42" t="n">
        <v>165876</v>
      </c>
      <c r="AD4" s="43" t="n">
        <v>167927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2594.759337964316</v>
      </c>
      <c r="C5" s="40" t="n">
        <v>2638.344290410953</v>
      </c>
      <c r="D5" s="51" t="n">
        <v>2640.989470250804</v>
      </c>
      <c r="E5" s="40">
        <f>(C5-B5)+C5</f>
        <v/>
      </c>
      <c r="F5" s="41">
        <f>(C5-D5)/C5</f>
        <v/>
      </c>
      <c r="G5" s="44" t="n">
        <v>309572</v>
      </c>
      <c r="H5" s="43" t="n">
        <v>312963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92903</v>
      </c>
      <c r="N5" s="21" t="n">
        <v>94162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216669</v>
      </c>
      <c r="T5" s="43" t="n">
        <v>218801</v>
      </c>
      <c r="U5" s="16">
        <f>M5-S5</f>
        <v/>
      </c>
      <c r="V5" s="17" t="n">
        <v>38</v>
      </c>
      <c r="W5" s="19">
        <f>T5+U5+V5</f>
        <v/>
      </c>
      <c r="AC5" s="42" t="n">
        <v>309455</v>
      </c>
      <c r="AD5" s="43" t="n">
        <v>312846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405.9511693737682</v>
      </c>
      <c r="C6" s="40" t="n">
        <v>414.8641974447237</v>
      </c>
      <c r="D6" s="51" t="n">
        <v>413.8806887439447</v>
      </c>
      <c r="E6" s="40">
        <f>(C6-B6)+C6</f>
        <v/>
      </c>
      <c r="F6" s="41">
        <f>(C6-D6)/C6</f>
        <v/>
      </c>
      <c r="G6" s="25" t="n">
        <v>50488</v>
      </c>
      <c r="H6" s="21" t="n">
        <v>51215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19481</v>
      </c>
      <c r="N6" s="21" t="n">
        <v>19764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31007</v>
      </c>
      <c r="T6" s="43" t="n">
        <v>31451</v>
      </c>
      <c r="U6" s="16">
        <f>M6-S6</f>
        <v/>
      </c>
      <c r="V6" s="17" t="n">
        <v>4</v>
      </c>
      <c r="W6" s="19">
        <f>T6+U6+V6</f>
        <v/>
      </c>
      <c r="AC6" s="25" t="n">
        <v>50471</v>
      </c>
      <c r="AD6" s="21" t="n">
        <v>51198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12900.57631483036</v>
      </c>
      <c r="C7" s="40" t="n">
        <v>13117.57539716056</v>
      </c>
      <c r="D7" s="51" t="n">
        <v>13136.47795256993</v>
      </c>
      <c r="E7" s="40">
        <f>(C7-B7)+C7</f>
        <v/>
      </c>
      <c r="F7" s="41">
        <f>(C7-D7)/C7</f>
        <v/>
      </c>
      <c r="G7" s="44" t="n">
        <v>697223</v>
      </c>
      <c r="H7" s="43" t="n">
        <v>708004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364198</v>
      </c>
      <c r="N7" s="21" t="n">
        <v>369944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333025</v>
      </c>
      <c r="T7" s="43" t="n">
        <v>338060</v>
      </c>
      <c r="U7" s="16">
        <f>M7-S7</f>
        <v/>
      </c>
      <c r="V7" s="17" t="n">
        <v>96</v>
      </c>
      <c r="W7" s="19">
        <f>T7+U7+V7</f>
        <v/>
      </c>
      <c r="AC7" s="42" t="n">
        <v>696780</v>
      </c>
      <c r="AD7" s="43" t="n">
        <v>707559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1519.194637335554</v>
      </c>
      <c r="C8" s="40" t="n">
        <v>1546.640364059298</v>
      </c>
      <c r="D8" s="51" t="n">
        <v>1547.022339837677</v>
      </c>
      <c r="E8" s="40">
        <f>(C8-B8)+C8</f>
        <v/>
      </c>
      <c r="F8" s="41">
        <f>(C8-D8)/C8</f>
        <v/>
      </c>
      <c r="G8" s="44" t="n">
        <v>124305</v>
      </c>
      <c r="H8" s="43" t="n">
        <v>126030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51018</v>
      </c>
      <c r="N8" s="21" t="n">
        <v>51730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73287</v>
      </c>
      <c r="T8" s="43" t="n">
        <v>74300</v>
      </c>
      <c r="U8" s="16">
        <f>M8-S8</f>
        <v/>
      </c>
      <c r="V8" s="17" t="n">
        <v>23</v>
      </c>
      <c r="W8" s="19">
        <f>T8+U8+V8</f>
        <v/>
      </c>
      <c r="AC8" s="42" t="n">
        <v>124239</v>
      </c>
      <c r="AD8" s="43" t="n">
        <v>125964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2538.339835821559</v>
      </c>
      <c r="C9" s="40" t="n">
        <v>2553.291623937159</v>
      </c>
      <c r="D9" s="51" t="n">
        <v>2552.385963156935</v>
      </c>
      <c r="E9" s="40">
        <f>(C9-B9)+C9</f>
        <v/>
      </c>
      <c r="F9" s="41">
        <f>(C9-D9)/C9</f>
        <v/>
      </c>
      <c r="G9" s="44" t="n">
        <v>85126</v>
      </c>
      <c r="H9" s="43" t="n">
        <v>86253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38142</v>
      </c>
      <c r="N9" s="21" t="n">
        <v>38597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46984</v>
      </c>
      <c r="T9" s="43" t="n">
        <v>47656</v>
      </c>
      <c r="U9" s="16">
        <f>M9-S9</f>
        <v/>
      </c>
      <c r="V9" s="17" t="n">
        <v>27</v>
      </c>
      <c r="W9" s="19">
        <f>T9+U9+V9</f>
        <v/>
      </c>
      <c r="AC9" s="42" t="n">
        <v>85088</v>
      </c>
      <c r="AD9" s="43" t="n">
        <v>86215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2594.112809312349</v>
      </c>
      <c r="C10" s="40" t="n">
        <v>2636.697485092227</v>
      </c>
      <c r="D10" s="51" t="n">
        <v>2633.809872004941</v>
      </c>
      <c r="E10" s="40">
        <f>(C10-B10)+C10</f>
        <v/>
      </c>
      <c r="F10" s="41">
        <f>(C10-D10)/C10</f>
        <v/>
      </c>
      <c r="G10" s="44" t="n">
        <v>210880</v>
      </c>
      <c r="H10" s="43" t="n">
        <v>213207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35185</v>
      </c>
      <c r="N10" s="21" t="n">
        <v>35671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175695</v>
      </c>
      <c r="T10" s="43" t="n">
        <v>177536</v>
      </c>
      <c r="U10" s="16">
        <f>M10-S10</f>
        <v/>
      </c>
      <c r="V10" s="17" t="n">
        <v>44</v>
      </c>
      <c r="W10" s="19">
        <f>T10+U10+V10</f>
        <v/>
      </c>
      <c r="AC10" s="42" t="n">
        <v>210857</v>
      </c>
      <c r="AD10" s="43" t="n">
        <v>213184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1440.912326920534</v>
      </c>
      <c r="C11" s="40" t="n">
        <v>1472.385872474555</v>
      </c>
      <c r="D11" s="51" t="n">
        <v>1469.744867712248</v>
      </c>
      <c r="E11" s="40">
        <f>(C11-B11)+C11</f>
        <v/>
      </c>
      <c r="F11" s="41">
        <f>(C11-D11)/C11</f>
        <v/>
      </c>
      <c r="G11" s="44" t="n">
        <v>177560</v>
      </c>
      <c r="H11" s="43" t="n">
        <v>180588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64721</v>
      </c>
      <c r="N11" s="21" t="n">
        <v>65890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112839</v>
      </c>
      <c r="T11" s="43" t="n">
        <v>114698</v>
      </c>
      <c r="U11" s="16">
        <f>M11-S11</f>
        <v/>
      </c>
      <c r="V11" s="17" t="n">
        <v>53</v>
      </c>
      <c r="W11" s="19">
        <f>T11+U11+V11</f>
        <v/>
      </c>
      <c r="AC11" s="42" t="n">
        <v>177485</v>
      </c>
      <c r="AD11" s="43" t="n">
        <v>180513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2625.950123153854</v>
      </c>
      <c r="C12" s="40" t="n">
        <v>2679.812912611016</v>
      </c>
      <c r="D12" s="51" t="n">
        <v>2693.309638260953</v>
      </c>
      <c r="E12" s="40">
        <f>(C12-B12)+C12</f>
        <v/>
      </c>
      <c r="F12" s="41">
        <f>(C12-D12)/C12</f>
        <v/>
      </c>
      <c r="G12" s="44" t="n">
        <v>263965</v>
      </c>
      <c r="H12" s="43" t="n">
        <v>268769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106774</v>
      </c>
      <c r="N12" s="21" t="n">
        <v>108465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157191</v>
      </c>
      <c r="T12" s="43" t="n">
        <v>160304</v>
      </c>
      <c r="U12" s="16">
        <f>M12-S12</f>
        <v/>
      </c>
      <c r="V12" s="17" t="n">
        <v>64</v>
      </c>
      <c r="W12" s="19">
        <f>T12+U12+V12</f>
        <v/>
      </c>
      <c r="AC12" s="42" t="n">
        <v>263824</v>
      </c>
      <c r="AD12" s="43" t="n">
        <v>268628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749.6136718412448</v>
      </c>
      <c r="C13" s="40" t="n">
        <v>767.4523760649075</v>
      </c>
      <c r="D13" s="51" t="n">
        <v>766.2834997293944</v>
      </c>
      <c r="E13" s="40">
        <f>(C13-B13)+C13</f>
        <v/>
      </c>
      <c r="F13" s="41">
        <f>(C13-D13)/C13</f>
        <v/>
      </c>
      <c r="G13" s="44" t="n">
        <v>68907</v>
      </c>
      <c r="H13" s="43" t="n">
        <v>69869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18997</v>
      </c>
      <c r="N13" s="21" t="n">
        <v>19316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49910</v>
      </c>
      <c r="T13" s="43" t="n">
        <v>50553</v>
      </c>
      <c r="U13" s="16">
        <f>M13-S13</f>
        <v/>
      </c>
      <c r="V13" s="17" t="n">
        <v>36</v>
      </c>
      <c r="W13" s="19">
        <f>T13+U13+V13</f>
        <v/>
      </c>
      <c r="AC13" s="42" t="n">
        <v>68871</v>
      </c>
      <c r="AD13" s="43" t="n">
        <v>69833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3310.401031887799</v>
      </c>
      <c r="C14" s="40" t="n">
        <v>3363.702199937238</v>
      </c>
      <c r="D14" s="51" t="n">
        <v>3366.628186655726</v>
      </c>
      <c r="E14" s="40">
        <f>(C14-B14)+C14</f>
        <v/>
      </c>
      <c r="F14" s="41">
        <f>(C14-D14)/C14</f>
        <v/>
      </c>
      <c r="G14" s="44" t="n">
        <v>222805</v>
      </c>
      <c r="H14" s="43" t="n">
        <v>227156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80388</v>
      </c>
      <c r="N14" s="21" t="n">
        <v>81657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142417</v>
      </c>
      <c r="T14" s="43" t="n">
        <v>145499</v>
      </c>
      <c r="U14" s="16">
        <f>M14-S14</f>
        <v/>
      </c>
      <c r="V14" s="17" t="n">
        <v>50</v>
      </c>
      <c r="W14" s="19">
        <f>T14+U14+V14</f>
        <v/>
      </c>
      <c r="AC14" s="42" t="n">
        <v>222698</v>
      </c>
      <c r="AD14" s="43" t="n">
        <v>227049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2520.476474091769</v>
      </c>
      <c r="C15" s="40" t="n">
        <v>2572.277012053878</v>
      </c>
      <c r="D15" s="51" t="n">
        <v>2571.833313444574</v>
      </c>
      <c r="E15" s="40">
        <f>(C15-B15)+C15</f>
        <v/>
      </c>
      <c r="F15" s="41">
        <f>(C15-D15)/C15</f>
        <v/>
      </c>
      <c r="G15" s="44" t="n">
        <v>225611</v>
      </c>
      <c r="H15" s="43" t="n">
        <v>228915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76196</v>
      </c>
      <c r="N15" s="21" t="n">
        <v>77267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149415</v>
      </c>
      <c r="T15" s="43" t="n">
        <v>151648</v>
      </c>
      <c r="U15" s="16">
        <f>M15-S15</f>
        <v/>
      </c>
      <c r="V15" s="17" t="n">
        <v>53</v>
      </c>
      <c r="W15" s="19">
        <f>T15+U15+V15</f>
        <v/>
      </c>
      <c r="AC15" s="42" t="n">
        <v>225499</v>
      </c>
      <c r="AD15" s="43" t="n">
        <v>228803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440.8387968233682</v>
      </c>
      <c r="C16" s="40" t="n">
        <v>451.509689566995</v>
      </c>
      <c r="D16" s="51" t="n">
        <v>452.5370357243334</v>
      </c>
      <c r="E16" s="40">
        <f>(C16-B16)+C16</f>
        <v/>
      </c>
      <c r="F16" s="41">
        <f>(C16-D16)/C16</f>
        <v/>
      </c>
      <c r="G16" s="44" t="n">
        <v>63036</v>
      </c>
      <c r="H16" s="43" t="n">
        <v>64211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18200</v>
      </c>
      <c r="N16" s="21" t="n">
        <v>18437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44836</v>
      </c>
      <c r="T16" s="43" t="n">
        <v>45774</v>
      </c>
      <c r="U16" s="16">
        <f>M16-S16</f>
        <v/>
      </c>
      <c r="V16" s="17" t="n">
        <v>11</v>
      </c>
      <c r="W16" s="19">
        <f>T16+U16+V16</f>
        <v/>
      </c>
      <c r="AC16" s="42" t="n">
        <v>63016</v>
      </c>
      <c r="AD16" s="43" t="n">
        <v>64191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4236.76451968094</v>
      </c>
      <c r="C17" s="40" t="n">
        <v>4308.093321318313</v>
      </c>
      <c r="D17" s="51" t="n">
        <v>4324.505806638238</v>
      </c>
      <c r="E17" s="40">
        <f>(C17-B17)+C17</f>
        <v/>
      </c>
      <c r="F17" s="41">
        <f>(C17-D17)/C17</f>
        <v/>
      </c>
      <c r="G17" s="44" t="n">
        <v>276435</v>
      </c>
      <c r="H17" s="43" t="n">
        <v>280684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136388</v>
      </c>
      <c r="N17" s="21" t="n">
        <v>138441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140047</v>
      </c>
      <c r="T17" s="43" t="n">
        <v>142243</v>
      </c>
      <c r="U17" s="16">
        <f>M17-S17</f>
        <v/>
      </c>
      <c r="V17" s="17" t="n">
        <v>147</v>
      </c>
      <c r="W17" s="19">
        <f>T17+U17+V17</f>
        <v/>
      </c>
      <c r="AC17" s="42" t="n">
        <v>276296</v>
      </c>
      <c r="AD17" s="43" t="n">
        <v>280545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1430.081356460908</v>
      </c>
      <c r="C18" s="40" t="n">
        <v>1452.379007350264</v>
      </c>
      <c r="D18" s="51" t="n">
        <v>1450.062160571154</v>
      </c>
      <c r="E18" s="40">
        <f>(C18-B18)+C18</f>
        <v/>
      </c>
      <c r="F18" s="41">
        <f>(C18-D18)/C18</f>
        <v/>
      </c>
      <c r="G18" s="44" t="n">
        <v>270362</v>
      </c>
      <c r="H18" s="43" t="n">
        <v>271946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33492</v>
      </c>
      <c r="N18" s="21" t="n">
        <v>33977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236870</v>
      </c>
      <c r="T18" s="43" t="n">
        <v>237969</v>
      </c>
      <c r="U18" s="16">
        <f>M18-S18</f>
        <v/>
      </c>
      <c r="V18" s="17" t="n">
        <v>28</v>
      </c>
      <c r="W18" s="19">
        <f>T18+U18+V18</f>
        <v/>
      </c>
      <c r="AC18" s="42" t="n">
        <v>270259</v>
      </c>
      <c r="AD18" s="43" t="n">
        <v>271842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1422.280208087294</v>
      </c>
      <c r="C19" s="40" t="n">
        <v>1446.450806974156</v>
      </c>
      <c r="D19" s="51" t="n">
        <v>1448.412576894682</v>
      </c>
      <c r="E19" s="40">
        <f>(C19-B19)+C19</f>
        <v/>
      </c>
      <c r="F19" s="41">
        <f>(C19-D19)/C19</f>
        <v/>
      </c>
      <c r="G19" s="44" t="n">
        <v>111374</v>
      </c>
      <c r="H19" s="43" t="n">
        <v>113028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38522</v>
      </c>
      <c r="N19" s="21" t="n">
        <v>39127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72852</v>
      </c>
      <c r="T19" s="43" t="n">
        <v>73901</v>
      </c>
      <c r="U19" s="16">
        <f>M19-S19</f>
        <v/>
      </c>
      <c r="V19" s="17" t="n">
        <v>60</v>
      </c>
      <c r="W19" s="19">
        <f>T19+U19+V19</f>
        <v/>
      </c>
      <c r="AC19" s="42" t="n">
        <v>111300</v>
      </c>
      <c r="AD19" s="43" t="n">
        <v>112954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542.2454026993036</v>
      </c>
      <c r="C20" s="40" t="n">
        <v>556.0012958075015</v>
      </c>
      <c r="D20" s="51" t="n">
        <v>555.3705617217395</v>
      </c>
      <c r="E20" s="40">
        <f>(C20-B20)+C20</f>
        <v/>
      </c>
      <c r="F20" s="41">
        <f>(C20-D20)/C20</f>
        <v/>
      </c>
      <c r="G20" s="44" t="n">
        <v>68861</v>
      </c>
      <c r="H20" s="43" t="n">
        <v>69716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20288</v>
      </c>
      <c r="N20" s="21" t="n">
        <v>20540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48573</v>
      </c>
      <c r="T20" s="43" t="n">
        <v>49176</v>
      </c>
      <c r="U20" s="16">
        <f>M20-S20</f>
        <v/>
      </c>
      <c r="V20" s="17" t="n">
        <v>24</v>
      </c>
      <c r="W20" s="19">
        <f>T20+U20+V20</f>
        <v/>
      </c>
      <c r="AC20" s="42" t="n">
        <v>68809</v>
      </c>
      <c r="AD20" s="43" t="n">
        <v>69664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194.1535890733053</v>
      </c>
      <c r="C21" s="40" t="n">
        <v>198.4390892812499</v>
      </c>
      <c r="D21" s="51" t="n">
        <v>197.9131095106325</v>
      </c>
      <c r="E21" s="40">
        <f>(C21-B21)+C21</f>
        <v/>
      </c>
      <c r="F21" s="41">
        <f>(C21-D21)/C21</f>
        <v/>
      </c>
      <c r="G21" s="25" t="n">
        <v>20304</v>
      </c>
      <c r="H21" s="21" t="n">
        <v>20598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8354</v>
      </c>
      <c r="N21" s="21" t="n">
        <v>8466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11950</v>
      </c>
      <c r="T21" s="43" t="n">
        <v>12132</v>
      </c>
      <c r="U21" s="16">
        <f>M21-S21</f>
        <v/>
      </c>
      <c r="V21" s="17" t="n">
        <v>25</v>
      </c>
      <c r="W21" s="19">
        <f>T21+U21+V21</f>
        <v/>
      </c>
      <c r="AC21" s="25" t="n">
        <v>20291</v>
      </c>
      <c r="AD21" s="21" t="n">
        <v>20585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103.5945496785235</v>
      </c>
      <c r="C22" s="40" t="n">
        <v>106.1452179388991</v>
      </c>
      <c r="D22" s="51" t="n">
        <v>105.6984644378133</v>
      </c>
      <c r="E22" s="40">
        <f>(C22-B22)+C22</f>
        <v/>
      </c>
      <c r="F22" s="41">
        <f>(C22-D22)/C22</f>
        <v/>
      </c>
      <c r="G22" s="44" t="n">
        <v>9907</v>
      </c>
      <c r="H22" s="43" t="n">
        <v>10013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3761</v>
      </c>
      <c r="N22" s="21" t="n">
        <v>3809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6146</v>
      </c>
      <c r="T22" s="43" t="n">
        <v>6204</v>
      </c>
      <c r="U22" s="16">
        <f>M22-S22</f>
        <v/>
      </c>
      <c r="V22" s="17" t="n">
        <v>6</v>
      </c>
      <c r="W22" s="19">
        <f>T22+U22+V22</f>
        <v/>
      </c>
      <c r="AC22" s="42" t="n">
        <v>9890</v>
      </c>
      <c r="AD22" s="43" t="n">
        <v>9996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3062.243480207614</v>
      </c>
      <c r="C23" s="40" t="n">
        <v>3123.327861225118</v>
      </c>
      <c r="D23" s="51" t="n">
        <v>3125.212840993725</v>
      </c>
      <c r="E23" s="40">
        <f>(C23-B23)+C23</f>
        <v/>
      </c>
      <c r="F23" s="41">
        <f>(C23-D23)/C23</f>
        <v/>
      </c>
      <c r="G23" s="44" t="n">
        <v>362390</v>
      </c>
      <c r="H23" s="43" t="n">
        <v>367010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147144</v>
      </c>
      <c r="N23" s="21" t="n">
        <v>149204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215246</v>
      </c>
      <c r="T23" s="43" t="n">
        <v>217806</v>
      </c>
      <c r="U23" s="16">
        <f>M23-S23</f>
        <v/>
      </c>
      <c r="V23" s="17" t="n">
        <v>55</v>
      </c>
      <c r="W23" s="19">
        <f>T23+U23+V23</f>
        <v/>
      </c>
      <c r="AC23" s="42" t="n">
        <v>362281</v>
      </c>
      <c r="AD23" s="43" t="n">
        <v>366900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735.8357680386123</v>
      </c>
      <c r="C24" s="40" t="n">
        <v>752.0642182658687</v>
      </c>
      <c r="D24" s="51" t="n">
        <v>751.1235631657473</v>
      </c>
      <c r="E24" s="40">
        <f>(C24-B24)+C24</f>
        <v/>
      </c>
      <c r="F24" s="41">
        <f>(C24-D24)/C24</f>
        <v/>
      </c>
      <c r="G24" s="44" t="n">
        <v>86895</v>
      </c>
      <c r="H24" s="43" t="n">
        <v>88285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33760</v>
      </c>
      <c r="N24" s="21" t="n">
        <v>34290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53135</v>
      </c>
      <c r="T24" s="43" t="n">
        <v>53995</v>
      </c>
      <c r="U24" s="16">
        <f>M24-S24</f>
        <v/>
      </c>
      <c r="V24" s="17" t="n">
        <v>19</v>
      </c>
      <c r="W24" s="19">
        <f>T24+U24+V24</f>
        <v/>
      </c>
      <c r="AC24" s="42" t="n">
        <v>86856</v>
      </c>
      <c r="AD24" s="43" t="n">
        <v>88246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949.6196567090474</v>
      </c>
      <c r="C25" s="40" t="n">
        <v>969.2231143350873</v>
      </c>
      <c r="D25" s="51" t="n">
        <v>968.8353119143087</v>
      </c>
      <c r="E25" s="40">
        <f>(C25-B25)+C25</f>
        <v/>
      </c>
      <c r="F25" s="41">
        <f>(C25-D25)/C25</f>
        <v/>
      </c>
      <c r="G25" s="44" t="n">
        <v>137396</v>
      </c>
      <c r="H25" s="43" t="n">
        <v>138600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35636</v>
      </c>
      <c r="N25" s="21" t="n">
        <v>36152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101760</v>
      </c>
      <c r="T25" s="43" t="n">
        <v>102448</v>
      </c>
      <c r="U25" s="16">
        <f>M25-S25</f>
        <v/>
      </c>
      <c r="V25" s="17" t="n">
        <v>20</v>
      </c>
      <c r="W25" s="19">
        <f>T25+U25+V25</f>
        <v/>
      </c>
      <c r="AC25" s="42" t="n">
        <v>137362</v>
      </c>
      <c r="AD25" s="43" t="n">
        <v>138566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7902.418435847153</v>
      </c>
      <c r="C26" s="40" t="n">
        <v>8054.534023853023</v>
      </c>
      <c r="D26" s="51" t="n">
        <v>8057.021966554775</v>
      </c>
      <c r="E26" s="40">
        <f>(C26-B26)+C26</f>
        <v/>
      </c>
      <c r="F26" s="41">
        <f>(C26-D26)/C26</f>
        <v/>
      </c>
      <c r="G26" s="44" t="n">
        <v>147963</v>
      </c>
      <c r="H26" s="43" t="n">
        <v>150044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135997</v>
      </c>
      <c r="N26" s="21" t="n">
        <v>137805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11966</v>
      </c>
      <c r="T26" s="43" t="n">
        <v>12239</v>
      </c>
      <c r="U26" s="16">
        <f>M26-S26</f>
        <v/>
      </c>
      <c r="V26" s="17" t="n">
        <v>9</v>
      </c>
      <c r="W26" s="19">
        <f>T26+U26+V26</f>
        <v/>
      </c>
      <c r="AC26" s="42" t="n">
        <v>147791</v>
      </c>
      <c r="AD26" s="43" t="n">
        <v>149871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3925.279734440132</v>
      </c>
      <c r="C27" s="40" t="n">
        <v>3996.978735371522</v>
      </c>
      <c r="D27" s="51" t="n">
        <v>3998.298480821233</v>
      </c>
      <c r="E27" s="40">
        <f>(C27-B27)+C27</f>
        <v/>
      </c>
      <c r="F27" s="41">
        <f>(C27-D27)/C27</f>
        <v/>
      </c>
      <c r="G27" s="44" t="n">
        <v>251782</v>
      </c>
      <c r="H27" s="43" t="n">
        <v>254917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128041</v>
      </c>
      <c r="N27" s="21" t="n">
        <v>129746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123741</v>
      </c>
      <c r="T27" s="43" t="n">
        <v>125171</v>
      </c>
      <c r="U27" s="16">
        <f>M27-S27</f>
        <v/>
      </c>
      <c r="V27" s="17" t="n">
        <v>60</v>
      </c>
      <c r="W27" s="19">
        <f>T27+U27+V27</f>
        <v/>
      </c>
      <c r="AC27" s="42" t="n">
        <v>251623</v>
      </c>
      <c r="AD27" s="43" t="n">
        <v>254757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1324.932031925356</v>
      </c>
      <c r="C28" s="40" t="n">
        <v>1339.512064573766</v>
      </c>
      <c r="D28" s="51" t="n">
        <v>1341.431669714334</v>
      </c>
      <c r="E28" s="40">
        <f>(C28-B28)+C28</f>
        <v/>
      </c>
      <c r="F28" s="41">
        <f>(C28-D28)/C28</f>
        <v/>
      </c>
      <c r="G28" s="44" t="n">
        <v>39513</v>
      </c>
      <c r="H28" s="43" t="n">
        <v>40088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24045</v>
      </c>
      <c r="N28" s="21" t="n">
        <v>24380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15468</v>
      </c>
      <c r="T28" s="43" t="n">
        <v>15708</v>
      </c>
      <c r="U28" s="16">
        <f>M28-S28</f>
        <v/>
      </c>
      <c r="V28" s="17" t="n">
        <v>6</v>
      </c>
      <c r="W28" s="19">
        <f>T28+U28+V28</f>
        <v/>
      </c>
      <c r="AC28" s="42" t="n">
        <v>39482</v>
      </c>
      <c r="AD28" s="43" t="n">
        <v>40057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40.01782082418406</v>
      </c>
      <c r="C29" s="40" t="n">
        <v>40.81755189504266</v>
      </c>
      <c r="D29" s="51" t="n">
        <v>41.01956662497074</v>
      </c>
      <c r="E29" s="40">
        <f>(C29-B29)+C29</f>
        <v/>
      </c>
      <c r="F29" s="41">
        <f>(C29-D29)/C29</f>
        <v/>
      </c>
      <c r="G29" s="44" t="n">
        <v>2983</v>
      </c>
      <c r="H29" s="43" t="n">
        <v>3019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1131</v>
      </c>
      <c r="N29" s="21" t="n">
        <v>1148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1852</v>
      </c>
      <c r="T29" s="43" t="n">
        <v>1871</v>
      </c>
      <c r="U29" s="16">
        <f>M29-S29</f>
        <v/>
      </c>
      <c r="V29" s="17" t="n">
        <v>1</v>
      </c>
      <c r="W29" s="19">
        <f>T29+U29+V29</f>
        <v/>
      </c>
      <c r="AC29" s="42" t="n">
        <v>2977</v>
      </c>
      <c r="AD29" s="43" t="n">
        <v>3013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728.8759984534939</v>
      </c>
      <c r="C30" s="40" t="n">
        <v>746.817298827718</v>
      </c>
      <c r="D30" s="51" t="n">
        <v>743.3675279390483</v>
      </c>
      <c r="E30" s="40">
        <f>(C30-B30)+C30</f>
        <v/>
      </c>
      <c r="F30" s="41">
        <f>(C30-D30)/C30</f>
        <v/>
      </c>
      <c r="G30" s="44" t="n">
        <v>73738</v>
      </c>
      <c r="H30" s="43" t="n">
        <v>74978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18879</v>
      </c>
      <c r="N30" s="21" t="n">
        <v>19174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54859</v>
      </c>
      <c r="T30" s="43" t="n">
        <v>55804</v>
      </c>
      <c r="U30" s="16">
        <f>M30-S30</f>
        <v/>
      </c>
      <c r="V30" s="17" t="n">
        <v>29</v>
      </c>
      <c r="W30" s="19">
        <f>T30+U30+V30</f>
        <v/>
      </c>
      <c r="AC30" s="42" t="n">
        <v>73705</v>
      </c>
      <c r="AD30" s="43" t="n">
        <v>74945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1486.809335118286</v>
      </c>
      <c r="C31" s="40" t="n">
        <v>1516.817581402763</v>
      </c>
      <c r="D31" s="51" t="n">
        <v>1517.13285902607</v>
      </c>
      <c r="E31" s="40">
        <f>(C31-B31)+C31</f>
        <v/>
      </c>
      <c r="F31" s="41">
        <f>(C31-D31)/C31</f>
        <v/>
      </c>
      <c r="G31" s="44" t="n">
        <v>145831</v>
      </c>
      <c r="H31" s="43" t="n">
        <v>148664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51234</v>
      </c>
      <c r="N31" s="21" t="n">
        <v>51993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94597</v>
      </c>
      <c r="T31" s="43" t="n">
        <v>96671</v>
      </c>
      <c r="U31" s="16">
        <f>M31-S31</f>
        <v/>
      </c>
      <c r="V31" s="17" t="n">
        <v>45</v>
      </c>
      <c r="W31" s="19">
        <f>T31+U31+V31</f>
        <v/>
      </c>
      <c r="AC31" s="42" t="n">
        <v>145758</v>
      </c>
      <c r="AD31" s="43" t="n">
        <v>148591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7710.005549235095</v>
      </c>
      <c r="C32" s="40" t="n">
        <v>7802.199703617178</v>
      </c>
      <c r="D32" s="51" t="n">
        <v>7809.005962471039</v>
      </c>
      <c r="E32" s="40">
        <f>(C32-B32)+C32</f>
        <v/>
      </c>
      <c r="F32" s="41">
        <f>(C32-D32)/C32</f>
        <v/>
      </c>
      <c r="G32" s="44" t="n">
        <v>291281</v>
      </c>
      <c r="H32" s="43" t="n">
        <v>296037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150862</v>
      </c>
      <c r="N32" s="21" t="n">
        <v>153302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140419</v>
      </c>
      <c r="T32" s="43" t="n">
        <v>142735</v>
      </c>
      <c r="U32" s="16">
        <f>M32-S32</f>
        <v/>
      </c>
      <c r="V32" s="17" t="n">
        <v>56</v>
      </c>
      <c r="W32" s="19">
        <f>T32+U32+V32</f>
        <v/>
      </c>
      <c r="AC32" s="42" t="n">
        <v>291123</v>
      </c>
      <c r="AD32" s="43" t="n">
        <v>295879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1860.196439318683</v>
      </c>
      <c r="C33" s="40" t="n">
        <v>1889.112560663579</v>
      </c>
      <c r="D33" s="51" t="n">
        <v>1889.451952101936</v>
      </c>
      <c r="E33" s="40">
        <f>(C33-B33)+C33</f>
        <v/>
      </c>
      <c r="F33" s="41">
        <f>(C33-D33)/C33</f>
        <v/>
      </c>
      <c r="G33" s="44" t="n">
        <v>90257</v>
      </c>
      <c r="H33" s="43" t="n">
        <v>91635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49926</v>
      </c>
      <c r="N33" s="21" t="n">
        <v>50669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40331</v>
      </c>
      <c r="T33" s="43" t="n">
        <v>40966</v>
      </c>
      <c r="U33" s="16">
        <f>M33-S33</f>
        <v/>
      </c>
      <c r="V33" s="17" t="n">
        <v>15</v>
      </c>
      <c r="W33" s="19">
        <f>T33+U33+V33</f>
        <v/>
      </c>
      <c r="AC33" s="42" t="n">
        <v>90203</v>
      </c>
      <c r="AD33" s="43" t="n">
        <v>91581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2984450.515400494</v>
      </c>
      <c r="C34" s="28" t="n">
        <v>3262511.373740912</v>
      </c>
      <c r="D34" s="53" t="n">
        <v>3244649.037442452</v>
      </c>
      <c r="E34" s="28">
        <f>(C34-B34)+C34</f>
        <v/>
      </c>
      <c r="F34" s="30">
        <f>(C34-D34)/C34</f>
        <v/>
      </c>
      <c r="G34" s="26" t="n">
        <v>38427447</v>
      </c>
      <c r="H34" s="31" t="n">
        <v>39841580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2487283</v>
      </c>
      <c r="N34" s="33" t="n">
        <v>2522916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3396649</v>
      </c>
      <c r="T34" s="31" t="n">
        <v>3442326</v>
      </c>
      <c r="U34" s="31" t="n">
        <v>240028</v>
      </c>
      <c r="V34" s="31" t="n">
        <v>1244</v>
      </c>
      <c r="W34" s="31">
        <f>T34+U34+V34</f>
        <v/>
      </c>
      <c r="X34" s="32" t="n">
        <v>32543515</v>
      </c>
      <c r="Y34" s="34" t="n">
        <v>33876338</v>
      </c>
      <c r="Z34" s="34" t="n">
        <v>4986</v>
      </c>
      <c r="AA34" s="34" t="n">
        <v>272</v>
      </c>
      <c r="AB34" s="34">
        <f>Y34+Z34+AA34</f>
        <v/>
      </c>
      <c r="AC34" s="35" t="n">
        <v>5880255</v>
      </c>
      <c r="AD34" s="31" t="n">
        <v>5961602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33584</v>
      </c>
      <c r="E39" s="17">
        <f>D39+C39</f>
        <v/>
      </c>
    </row>
    <row r="42">
      <c r="A42" s="9" t="n"/>
      <c r="B42" s="54" t="n"/>
    </row>
    <row r="44">
      <c r="A44" s="9" t="n"/>
    </row>
    <row r="45">
      <c r="A45" s="9" t="n"/>
      <c r="B45" s="54" t="n"/>
      <c r="E45" s="9" t="n"/>
    </row>
    <row r="47">
      <c r="A47" s="9" t="n"/>
      <c r="B47" s="54" t="n"/>
      <c r="E47" s="9" t="n"/>
    </row>
    <row r="49">
      <c r="A49" s="9" t="n"/>
      <c r="B49" s="54" t="n"/>
      <c r="E49" s="9" t="n"/>
    </row>
    <row r="51">
      <c r="A51" s="9" t="n"/>
      <c r="B51" s="54" t="n"/>
      <c r="E51" s="9" t="n"/>
    </row>
    <row r="53">
      <c r="A53" s="9" t="n"/>
      <c r="B53" s="54" t="n"/>
      <c r="E53" s="9" t="n"/>
    </row>
    <row r="55">
      <c r="A55" s="9" t="n"/>
      <c r="B55" s="54" t="n"/>
      <c r="E55" s="9" t="n"/>
    </row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1975.157267481803</v>
      </c>
      <c r="C3" s="40" t="n">
        <v>2009.79744691226</v>
      </c>
      <c r="D3" s="51" t="n">
        <v>2009.991501593971</v>
      </c>
      <c r="E3" s="40">
        <f>(C3-B3)+C3</f>
        <v/>
      </c>
      <c r="F3" s="41">
        <f>(C3-D3)/C3</f>
        <v/>
      </c>
      <c r="G3" s="44" t="n">
        <v>152599</v>
      </c>
      <c r="H3" s="43" t="n">
        <v>154418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69786</v>
      </c>
      <c r="N3" s="21" t="n">
        <v>70710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82813</v>
      </c>
      <c r="T3" s="43" t="n">
        <v>83708</v>
      </c>
      <c r="U3" s="16">
        <f>M3-S3</f>
        <v/>
      </c>
      <c r="V3" s="17" t="n">
        <v>36</v>
      </c>
      <c r="W3" s="19">
        <f>T3+U3+V3</f>
        <v/>
      </c>
      <c r="AC3" s="42" t="n">
        <v>152525</v>
      </c>
      <c r="AD3" s="43" t="n">
        <v>154344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81712.78138064229</v>
      </c>
      <c r="C4" s="40" t="n">
        <v>84044.04813739465</v>
      </c>
      <c r="D4" s="51" t="n">
        <v>85512.44160008639</v>
      </c>
      <c r="E4" s="40">
        <f>(C4-B4)+C4</f>
        <v/>
      </c>
      <c r="F4" s="41">
        <f>(C4-D4)/C4</f>
        <v/>
      </c>
      <c r="G4" s="44" t="n">
        <v>168291</v>
      </c>
      <c r="H4" s="43" t="n">
        <v>169964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160864</v>
      </c>
      <c r="N4" s="21" t="n">
        <v>162477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7427</v>
      </c>
      <c r="T4" s="43" t="n">
        <v>7487</v>
      </c>
      <c r="U4" s="16">
        <f>M4-S4</f>
        <v/>
      </c>
      <c r="V4" s="17" t="n">
        <v>6</v>
      </c>
      <c r="W4" s="19">
        <f>T4+U4+V4</f>
        <v/>
      </c>
      <c r="AC4" s="42" t="n">
        <v>167927</v>
      </c>
      <c r="AD4" s="43" t="n">
        <v>169601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2638.344290410953</v>
      </c>
      <c r="C5" s="40" t="n">
        <v>2684.445548678606</v>
      </c>
      <c r="D5" s="51" t="n">
        <v>2681.92924285759</v>
      </c>
      <c r="E5" s="40">
        <f>(C5-B5)+C5</f>
        <v/>
      </c>
      <c r="F5" s="41">
        <f>(C5-D5)/C5</f>
        <v/>
      </c>
      <c r="G5" s="44" t="n">
        <v>312963</v>
      </c>
      <c r="H5" s="43" t="n">
        <v>315706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94162</v>
      </c>
      <c r="N5" s="21" t="n">
        <v>95209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218801</v>
      </c>
      <c r="T5" s="43" t="n">
        <v>220497</v>
      </c>
      <c r="U5" s="16">
        <f>M5-S5</f>
        <v/>
      </c>
      <c r="V5" s="17" t="n">
        <v>38</v>
      </c>
      <c r="W5" s="19">
        <f>T5+U5+V5</f>
        <v/>
      </c>
      <c r="AC5" s="42" t="n">
        <v>312846</v>
      </c>
      <c r="AD5" s="43" t="n">
        <v>315589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414.8641974447237</v>
      </c>
      <c r="C6" s="40" t="n">
        <v>424.7800435946544</v>
      </c>
      <c r="D6" s="51" t="n">
        <v>423.7772255156793</v>
      </c>
      <c r="E6" s="40">
        <f>(C6-B6)+C6</f>
        <v/>
      </c>
      <c r="F6" s="41">
        <f>(C6-D6)/C6</f>
        <v/>
      </c>
      <c r="G6" s="25" t="n">
        <v>51215</v>
      </c>
      <c r="H6" s="21" t="n">
        <v>51795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19764</v>
      </c>
      <c r="N6" s="21" t="n">
        <v>19961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31451</v>
      </c>
      <c r="T6" s="43" t="n">
        <v>31834</v>
      </c>
      <c r="U6" s="16">
        <f>M6-S6</f>
        <v/>
      </c>
      <c r="V6" s="17" t="n">
        <v>4</v>
      </c>
      <c r="W6" s="19">
        <f>T6+U6+V6</f>
        <v/>
      </c>
      <c r="AC6" s="25" t="n">
        <v>51198</v>
      </c>
      <c r="AD6" s="21" t="n">
        <v>51778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13117.57539716056</v>
      </c>
      <c r="C7" s="40" t="n">
        <v>13334.93912366881</v>
      </c>
      <c r="D7" s="51" t="n">
        <v>13334.57447949076</v>
      </c>
      <c r="E7" s="40">
        <f>(C7-B7)+C7</f>
        <v/>
      </c>
      <c r="F7" s="41">
        <f>(C7-D7)/C7</f>
        <v/>
      </c>
      <c r="G7" s="44" t="n">
        <v>708004</v>
      </c>
      <c r="H7" s="43" t="n">
        <v>719443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369944</v>
      </c>
      <c r="N7" s="21" t="n">
        <v>376995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338060</v>
      </c>
      <c r="T7" s="43" t="n">
        <v>342448</v>
      </c>
      <c r="U7" s="16">
        <f>M7-S7</f>
        <v/>
      </c>
      <c r="V7" s="17" t="n">
        <v>96</v>
      </c>
      <c r="W7" s="19">
        <f>T7+U7+V7</f>
        <v/>
      </c>
      <c r="AC7" s="42" t="n">
        <v>707559</v>
      </c>
      <c r="AD7" s="43" t="n">
        <v>718998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1546.640364059298</v>
      </c>
      <c r="C8" s="40" t="n">
        <v>1575.772134150654</v>
      </c>
      <c r="D8" s="51" t="n">
        <v>1574.086090783042</v>
      </c>
      <c r="E8" s="40">
        <f>(C8-B8)+C8</f>
        <v/>
      </c>
      <c r="F8" s="41">
        <f>(C8-D8)/C8</f>
        <v/>
      </c>
      <c r="G8" s="44" t="n">
        <v>126030</v>
      </c>
      <c r="H8" s="43" t="n">
        <v>127090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51730</v>
      </c>
      <c r="N8" s="21" t="n">
        <v>52177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74300</v>
      </c>
      <c r="T8" s="43" t="n">
        <v>74913</v>
      </c>
      <c r="U8" s="16">
        <f>M8-S8</f>
        <v/>
      </c>
      <c r="V8" s="17" t="n">
        <v>23</v>
      </c>
      <c r="W8" s="19">
        <f>T8+U8+V8</f>
        <v/>
      </c>
      <c r="AC8" s="42" t="n">
        <v>125964</v>
      </c>
      <c r="AD8" s="43" t="n">
        <v>127024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2553.291623937159</v>
      </c>
      <c r="C9" s="40" t="n">
        <v>2568.916795747693</v>
      </c>
      <c r="D9" s="51" t="n">
        <v>2568.243412052759</v>
      </c>
      <c r="E9" s="40">
        <f>(C9-B9)+C9</f>
        <v/>
      </c>
      <c r="F9" s="41">
        <f>(C9-D9)/C9</f>
        <v/>
      </c>
      <c r="G9" s="44" t="n">
        <v>86253</v>
      </c>
      <c r="H9" s="43" t="n">
        <v>86962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38597</v>
      </c>
      <c r="N9" s="21" t="n">
        <v>38920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47656</v>
      </c>
      <c r="T9" s="43" t="n">
        <v>48042</v>
      </c>
      <c r="U9" s="16">
        <f>M9-S9</f>
        <v/>
      </c>
      <c r="V9" s="17" t="n">
        <v>27</v>
      </c>
      <c r="W9" s="19">
        <f>T9+U9+V9</f>
        <v/>
      </c>
      <c r="AC9" s="42" t="n">
        <v>86215</v>
      </c>
      <c r="AD9" s="43" t="n">
        <v>86924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2636.697485092227</v>
      </c>
      <c r="C10" s="40" t="n">
        <v>2677.421111549641</v>
      </c>
      <c r="D10" s="51" t="n">
        <v>2679.282160872104</v>
      </c>
      <c r="E10" s="40">
        <f>(C10-B10)+C10</f>
        <v/>
      </c>
      <c r="F10" s="41">
        <f>(C10-D10)/C10</f>
        <v/>
      </c>
      <c r="G10" s="44" t="n">
        <v>213207</v>
      </c>
      <c r="H10" s="43" t="n">
        <v>214825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35671</v>
      </c>
      <c r="N10" s="21" t="n">
        <v>36077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177536</v>
      </c>
      <c r="T10" s="43" t="n">
        <v>178748</v>
      </c>
      <c r="U10" s="16">
        <f>M10-S10</f>
        <v/>
      </c>
      <c r="V10" s="17" t="n">
        <v>44</v>
      </c>
      <c r="W10" s="19">
        <f>T10+U10+V10</f>
        <v/>
      </c>
      <c r="AC10" s="42" t="n">
        <v>213184</v>
      </c>
      <c r="AD10" s="43" t="n">
        <v>214802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1472.385872474555</v>
      </c>
      <c r="C11" s="40" t="n">
        <v>1504.164243910145</v>
      </c>
      <c r="D11" s="51" t="n">
        <v>1503.859418028576</v>
      </c>
      <c r="E11" s="40">
        <f>(C11-B11)+C11</f>
        <v/>
      </c>
      <c r="F11" s="41">
        <f>(C11-D11)/C11</f>
        <v/>
      </c>
      <c r="G11" s="44" t="n">
        <v>180588</v>
      </c>
      <c r="H11" s="43" t="n">
        <v>183422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65890</v>
      </c>
      <c r="N11" s="21" t="n">
        <v>67230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114698</v>
      </c>
      <c r="T11" s="43" t="n">
        <v>116192</v>
      </c>
      <c r="U11" s="16">
        <f>M11-S11</f>
        <v/>
      </c>
      <c r="V11" s="17" t="n">
        <v>53</v>
      </c>
      <c r="W11" s="19">
        <f>T11+U11+V11</f>
        <v/>
      </c>
      <c r="AC11" s="42" t="n">
        <v>180513</v>
      </c>
      <c r="AD11" s="43" t="n">
        <v>183347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2679.812912611016</v>
      </c>
      <c r="C12" s="40" t="n">
        <v>2738.261191249262</v>
      </c>
      <c r="D12" s="51" t="n">
        <v>2733.675702068177</v>
      </c>
      <c r="E12" s="40">
        <f>(C12-B12)+C12</f>
        <v/>
      </c>
      <c r="F12" s="41">
        <f>(C12-D12)/C12</f>
        <v/>
      </c>
      <c r="G12" s="44" t="n">
        <v>268769</v>
      </c>
      <c r="H12" s="43" t="n">
        <v>273219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108465</v>
      </c>
      <c r="N12" s="21" t="n">
        <v>109877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160304</v>
      </c>
      <c r="T12" s="43" t="n">
        <v>163342</v>
      </c>
      <c r="U12" s="16">
        <f>M12-S12</f>
        <v/>
      </c>
      <c r="V12" s="17" t="n">
        <v>64</v>
      </c>
      <c r="W12" s="19">
        <f>T12+U12+V12</f>
        <v/>
      </c>
      <c r="AC12" s="42" t="n">
        <v>268628</v>
      </c>
      <c r="AD12" s="43" t="n">
        <v>273077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767.4523760649075</v>
      </c>
      <c r="C13" s="40" t="n">
        <v>786.0686625073828</v>
      </c>
      <c r="D13" s="51" t="n">
        <v>785.2910802885702</v>
      </c>
      <c r="E13" s="40">
        <f>(C13-B13)+C13</f>
        <v/>
      </c>
      <c r="F13" s="41">
        <f>(C13-D13)/C13</f>
        <v/>
      </c>
      <c r="G13" s="44" t="n">
        <v>69869</v>
      </c>
      <c r="H13" s="43" t="n">
        <v>70704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19316</v>
      </c>
      <c r="N13" s="21" t="n">
        <v>19639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50553</v>
      </c>
      <c r="T13" s="43" t="n">
        <v>51065</v>
      </c>
      <c r="U13" s="16">
        <f>M13-S13</f>
        <v/>
      </c>
      <c r="V13" s="17" t="n">
        <v>36</v>
      </c>
      <c r="W13" s="19">
        <f>T13+U13+V13</f>
        <v/>
      </c>
      <c r="AC13" s="42" t="n">
        <v>69833</v>
      </c>
      <c r="AD13" s="43" t="n">
        <v>70668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3363.702199937238</v>
      </c>
      <c r="C14" s="40" t="n">
        <v>3422.247943461009</v>
      </c>
      <c r="D14" s="51" t="n">
        <v>3417.003367986677</v>
      </c>
      <c r="E14" s="40">
        <f>(C14-B14)+C14</f>
        <v/>
      </c>
      <c r="F14" s="41">
        <f>(C14-D14)/C14</f>
        <v/>
      </c>
      <c r="G14" s="44" t="n">
        <v>227156</v>
      </c>
      <c r="H14" s="43" t="n">
        <v>230930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81657</v>
      </c>
      <c r="N14" s="21" t="n">
        <v>82761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145499</v>
      </c>
      <c r="T14" s="43" t="n">
        <v>148169</v>
      </c>
      <c r="U14" s="16">
        <f>M14-S14</f>
        <v/>
      </c>
      <c r="V14" s="17" t="n">
        <v>50</v>
      </c>
      <c r="W14" s="19">
        <f>T14+U14+V14</f>
        <v/>
      </c>
      <c r="AC14" s="42" t="n">
        <v>227049</v>
      </c>
      <c r="AD14" s="43" t="n">
        <v>230823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2572.277012053878</v>
      </c>
      <c r="C15" s="40" t="n">
        <v>2628.581054607704</v>
      </c>
      <c r="D15" s="51" t="n">
        <v>2624.077550015986</v>
      </c>
      <c r="E15" s="40">
        <f>(C15-B15)+C15</f>
        <v/>
      </c>
      <c r="F15" s="41">
        <f>(C15-D15)/C15</f>
        <v/>
      </c>
      <c r="G15" s="44" t="n">
        <v>228915</v>
      </c>
      <c r="H15" s="43" t="n">
        <v>231106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77267</v>
      </c>
      <c r="N15" s="21" t="n">
        <v>78117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151648</v>
      </c>
      <c r="T15" s="43" t="n">
        <v>152989</v>
      </c>
      <c r="U15" s="16">
        <f>M15-S15</f>
        <v/>
      </c>
      <c r="V15" s="17" t="n">
        <v>53</v>
      </c>
      <c r="W15" s="19">
        <f>T15+U15+V15</f>
        <v/>
      </c>
      <c r="AC15" s="42" t="n">
        <v>228803</v>
      </c>
      <c r="AD15" s="43" t="n">
        <v>230994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451.509689566995</v>
      </c>
      <c r="C16" s="40" t="n">
        <v>461.5977868290599</v>
      </c>
      <c r="D16" s="51" t="n">
        <v>462.1805823106217</v>
      </c>
      <c r="E16" s="40">
        <f>(C16-B16)+C16</f>
        <v/>
      </c>
      <c r="F16" s="41">
        <f>(C16-D16)/C16</f>
        <v/>
      </c>
      <c r="G16" s="44" t="n">
        <v>64211</v>
      </c>
      <c r="H16" s="43" t="n">
        <v>65691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18437</v>
      </c>
      <c r="N16" s="21" t="n">
        <v>18641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45774</v>
      </c>
      <c r="T16" s="43" t="n">
        <v>47050</v>
      </c>
      <c r="U16" s="16">
        <f>M16-S16</f>
        <v/>
      </c>
      <c r="V16" s="17" t="n">
        <v>11</v>
      </c>
      <c r="W16" s="19">
        <f>T16+U16+V16</f>
        <v/>
      </c>
      <c r="AC16" s="42" t="n">
        <v>64191</v>
      </c>
      <c r="AD16" s="43" t="n">
        <v>65671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4308.093321318313</v>
      </c>
      <c r="C17" s="40" t="n">
        <v>4379.782443234157</v>
      </c>
      <c r="D17" s="51" t="n">
        <v>4379.422122955687</v>
      </c>
      <c r="E17" s="40">
        <f>(C17-B17)+C17</f>
        <v/>
      </c>
      <c r="F17" s="41">
        <f>(C17-D17)/C17</f>
        <v/>
      </c>
      <c r="G17" s="44" t="n">
        <v>280684</v>
      </c>
      <c r="H17" s="43" t="n">
        <v>284233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138441</v>
      </c>
      <c r="N17" s="21" t="n">
        <v>140508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142243</v>
      </c>
      <c r="T17" s="43" t="n">
        <v>143725</v>
      </c>
      <c r="U17" s="16">
        <f>M17-S17</f>
        <v/>
      </c>
      <c r="V17" s="17" t="n">
        <v>147</v>
      </c>
      <c r="W17" s="19">
        <f>T17+U17+V17</f>
        <v/>
      </c>
      <c r="AC17" s="42" t="n">
        <v>280545</v>
      </c>
      <c r="AD17" s="43" t="n">
        <v>284094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1452.379007350264</v>
      </c>
      <c r="C18" s="40" t="n">
        <v>1477.696615003605</v>
      </c>
      <c r="D18" s="51" t="n">
        <v>1474.676658239619</v>
      </c>
      <c r="E18" s="40">
        <f>(C18-B18)+C18</f>
        <v/>
      </c>
      <c r="F18" s="41">
        <f>(C18-D18)/C18</f>
        <v/>
      </c>
      <c r="G18" s="44" t="n">
        <v>271946</v>
      </c>
      <c r="H18" s="43" t="n">
        <v>273074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33977</v>
      </c>
      <c r="N18" s="21" t="n">
        <v>34418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237969</v>
      </c>
      <c r="T18" s="43" t="n">
        <v>238656</v>
      </c>
      <c r="U18" s="16">
        <f>M18-S18</f>
        <v/>
      </c>
      <c r="V18" s="17" t="n">
        <v>28</v>
      </c>
      <c r="W18" s="19">
        <f>T18+U18+V18</f>
        <v/>
      </c>
      <c r="AC18" s="42" t="n">
        <v>271842</v>
      </c>
      <c r="AD18" s="43" t="n">
        <v>272970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1446.450806974156</v>
      </c>
      <c r="C19" s="40" t="n">
        <v>1471.034203686768</v>
      </c>
      <c r="D19" s="51" t="n">
        <v>1470.621405861017</v>
      </c>
      <c r="E19" s="40">
        <f>(C19-B19)+C19</f>
        <v/>
      </c>
      <c r="F19" s="41">
        <f>(C19-D19)/C19</f>
        <v/>
      </c>
      <c r="G19" s="44" t="n">
        <v>113028</v>
      </c>
      <c r="H19" s="43" t="n">
        <v>114269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39127</v>
      </c>
      <c r="N19" s="21" t="n">
        <v>39568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73901</v>
      </c>
      <c r="T19" s="43" t="n">
        <v>74701</v>
      </c>
      <c r="U19" s="16">
        <f>M19-S19</f>
        <v/>
      </c>
      <c r="V19" s="17" t="n">
        <v>60</v>
      </c>
      <c r="W19" s="19">
        <f>T19+U19+V19</f>
        <v/>
      </c>
      <c r="AC19" s="42" t="n">
        <v>112954</v>
      </c>
      <c r="AD19" s="43" t="n">
        <v>114195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556.0012958075015</v>
      </c>
      <c r="C20" s="40" t="n">
        <v>568.0014058937212</v>
      </c>
      <c r="D20" s="51" t="n">
        <v>569.7571889156994</v>
      </c>
      <c r="E20" s="40">
        <f>(C20-B20)+C20</f>
        <v/>
      </c>
      <c r="F20" s="41">
        <f>(C20-D20)/C20</f>
        <v/>
      </c>
      <c r="G20" s="44" t="n">
        <v>69716</v>
      </c>
      <c r="H20" s="43" t="n">
        <v>70276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20540</v>
      </c>
      <c r="N20" s="21" t="n">
        <v>20724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49176</v>
      </c>
      <c r="T20" s="43" t="n">
        <v>49552</v>
      </c>
      <c r="U20" s="16">
        <f>M20-S20</f>
        <v/>
      </c>
      <c r="V20" s="17" t="n">
        <v>24</v>
      </c>
      <c r="W20" s="19">
        <f>T20+U20+V20</f>
        <v/>
      </c>
      <c r="AC20" s="42" t="n">
        <v>69664</v>
      </c>
      <c r="AD20" s="43" t="n">
        <v>70224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198.4390892812499</v>
      </c>
      <c r="C21" s="40" t="n">
        <v>202.4537597028428</v>
      </c>
      <c r="D21" s="51" t="n">
        <v>202.7245894891944</v>
      </c>
      <c r="E21" s="40">
        <f>(C21-B21)+C21</f>
        <v/>
      </c>
      <c r="F21" s="41">
        <f>(C21-D21)/C21</f>
        <v/>
      </c>
      <c r="G21" s="25" t="n">
        <v>20598</v>
      </c>
      <c r="H21" s="21" t="n">
        <v>20773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8466</v>
      </c>
      <c r="N21" s="21" t="n">
        <v>8556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12132</v>
      </c>
      <c r="T21" s="43" t="n">
        <v>12217</v>
      </c>
      <c r="U21" s="16">
        <f>M21-S21</f>
        <v/>
      </c>
      <c r="V21" s="17" t="n">
        <v>25</v>
      </c>
      <c r="W21" s="19">
        <f>T21+U21+V21</f>
        <v/>
      </c>
      <c r="AC21" s="25" t="n">
        <v>20585</v>
      </c>
      <c r="AD21" s="21" t="n">
        <v>20760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106.1452179388991</v>
      </c>
      <c r="C22" s="40" t="n">
        <v>108.687630576526</v>
      </c>
      <c r="D22" s="51" t="n">
        <v>108.6958861992747</v>
      </c>
      <c r="E22" s="40">
        <f>(C22-B22)+C22</f>
        <v/>
      </c>
      <c r="F22" s="41">
        <f>(C22-D22)/C22</f>
        <v/>
      </c>
      <c r="G22" s="44" t="n">
        <v>10013</v>
      </c>
      <c r="H22" s="43" t="n">
        <v>10082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3809</v>
      </c>
      <c r="N22" s="21" t="n">
        <v>3838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6204</v>
      </c>
      <c r="T22" s="43" t="n">
        <v>6244</v>
      </c>
      <c r="U22" s="16">
        <f>M22-S22</f>
        <v/>
      </c>
      <c r="V22" s="17" t="n">
        <v>6</v>
      </c>
      <c r="W22" s="19">
        <f>T22+U22+V22</f>
        <v/>
      </c>
      <c r="AC22" s="42" t="n">
        <v>9996</v>
      </c>
      <c r="AD22" s="43" t="n">
        <v>10065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3123.327861225118</v>
      </c>
      <c r="C23" s="40" t="n">
        <v>3185.864367376188</v>
      </c>
      <c r="D23" s="51" t="n">
        <v>3184.412242242623</v>
      </c>
      <c r="E23" s="40">
        <f>(C23-B23)+C23</f>
        <v/>
      </c>
      <c r="F23" s="41">
        <f>(C23-D23)/C23</f>
        <v/>
      </c>
      <c r="G23" s="44" t="n">
        <v>367010</v>
      </c>
      <c r="H23" s="43" t="n">
        <v>370781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149204</v>
      </c>
      <c r="N23" s="21" t="n">
        <v>151235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217806</v>
      </c>
      <c r="T23" s="43" t="n">
        <v>219546</v>
      </c>
      <c r="U23" s="16">
        <f>M23-S23</f>
        <v/>
      </c>
      <c r="V23" s="17" t="n">
        <v>55</v>
      </c>
      <c r="W23" s="19">
        <f>T23+U23+V23</f>
        <v/>
      </c>
      <c r="AC23" s="42" t="n">
        <v>366900</v>
      </c>
      <c r="AD23" s="43" t="n">
        <v>370670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752.0642182658687</v>
      </c>
      <c r="C24" s="40" t="n">
        <v>769.7307217014637</v>
      </c>
      <c r="D24" s="51" t="n">
        <v>768.2926684931251</v>
      </c>
      <c r="E24" s="40">
        <f>(C24-B24)+C24</f>
        <v/>
      </c>
      <c r="F24" s="41">
        <f>(C24-D24)/C24</f>
        <v/>
      </c>
      <c r="G24" s="44" t="n">
        <v>88285</v>
      </c>
      <c r="H24" s="43" t="n">
        <v>89122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34290</v>
      </c>
      <c r="N24" s="21" t="n">
        <v>34595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53995</v>
      </c>
      <c r="T24" s="43" t="n">
        <v>54527</v>
      </c>
      <c r="U24" s="16">
        <f>M24-S24</f>
        <v/>
      </c>
      <c r="V24" s="17" t="n">
        <v>19</v>
      </c>
      <c r="W24" s="19">
        <f>T24+U24+V24</f>
        <v/>
      </c>
      <c r="AC24" s="42" t="n">
        <v>88246</v>
      </c>
      <c r="AD24" s="43" t="n">
        <v>89083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969.2231143350873</v>
      </c>
      <c r="C25" s="40" t="n">
        <v>989.0650891262302</v>
      </c>
      <c r="D25" s="51" t="n">
        <v>988.8265719611272</v>
      </c>
      <c r="E25" s="40">
        <f>(C25-B25)+C25</f>
        <v/>
      </c>
      <c r="F25" s="41">
        <f>(C25-D25)/C25</f>
        <v/>
      </c>
      <c r="G25" s="44" t="n">
        <v>138600</v>
      </c>
      <c r="H25" s="43" t="n">
        <v>139448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36152</v>
      </c>
      <c r="N25" s="21" t="n">
        <v>36514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102448</v>
      </c>
      <c r="T25" s="43" t="n">
        <v>102934</v>
      </c>
      <c r="U25" s="16">
        <f>M25-S25</f>
        <v/>
      </c>
      <c r="V25" s="17" t="n">
        <v>20</v>
      </c>
      <c r="W25" s="19">
        <f>T25+U25+V25</f>
        <v/>
      </c>
      <c r="AC25" s="42" t="n">
        <v>138566</v>
      </c>
      <c r="AD25" s="43" t="n">
        <v>139414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8054.534023853023</v>
      </c>
      <c r="C26" s="40" t="n">
        <v>8212.328106231462</v>
      </c>
      <c r="D26" s="51" t="n">
        <v>8206.649611858895</v>
      </c>
      <c r="E26" s="40">
        <f>(C26-B26)+C26</f>
        <v/>
      </c>
      <c r="F26" s="41">
        <f>(C26-D26)/C26</f>
        <v/>
      </c>
      <c r="G26" s="44" t="n">
        <v>150044</v>
      </c>
      <c r="H26" s="43" t="n">
        <v>151731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137805</v>
      </c>
      <c r="N26" s="21" t="n">
        <v>139382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12239</v>
      </c>
      <c r="T26" s="43" t="n">
        <v>12349</v>
      </c>
      <c r="U26" s="16">
        <f>M26-S26</f>
        <v/>
      </c>
      <c r="V26" s="17" t="n">
        <v>9</v>
      </c>
      <c r="W26" s="19">
        <f>T26+U26+V26</f>
        <v/>
      </c>
      <c r="AC26" s="42" t="n">
        <v>149871</v>
      </c>
      <c r="AD26" s="43" t="n">
        <v>151558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3996.978735371522</v>
      </c>
      <c r="C27" s="40" t="n">
        <v>4068.223372440444</v>
      </c>
      <c r="D27" s="51" t="n">
        <v>4068.677736302911</v>
      </c>
      <c r="E27" s="40">
        <f>(C27-B27)+C27</f>
        <v/>
      </c>
      <c r="F27" s="41">
        <f>(C27-D27)/C27</f>
        <v/>
      </c>
      <c r="G27" s="44" t="n">
        <v>254917</v>
      </c>
      <c r="H27" s="43" t="n">
        <v>257003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129746</v>
      </c>
      <c r="N27" s="21" t="n">
        <v>131032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125171</v>
      </c>
      <c r="T27" s="43" t="n">
        <v>125971</v>
      </c>
      <c r="U27" s="16">
        <f>M27-S27</f>
        <v/>
      </c>
      <c r="V27" s="17" t="n">
        <v>60</v>
      </c>
      <c r="W27" s="19">
        <f>T27+U27+V27</f>
        <v/>
      </c>
      <c r="AC27" s="42" t="n">
        <v>254757</v>
      </c>
      <c r="AD27" s="43" t="n">
        <v>256843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1339.512064573766</v>
      </c>
      <c r="C28" s="40" t="n">
        <v>1355.554057510642</v>
      </c>
      <c r="D28" s="51" t="n">
        <v>1354.092097222175</v>
      </c>
      <c r="E28" s="40">
        <f>(C28-B28)+C28</f>
        <v/>
      </c>
      <c r="F28" s="41">
        <f>(C28-D28)/C28</f>
        <v/>
      </c>
      <c r="G28" s="44" t="n">
        <v>40088</v>
      </c>
      <c r="H28" s="43" t="n">
        <v>40501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24380</v>
      </c>
      <c r="N28" s="21" t="n">
        <v>24625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15708</v>
      </c>
      <c r="T28" s="43" t="n">
        <v>15876</v>
      </c>
      <c r="U28" s="16">
        <f>M28-S28</f>
        <v/>
      </c>
      <c r="V28" s="17" t="n">
        <v>6</v>
      </c>
      <c r="W28" s="19">
        <f>T28+U28+V28</f>
        <v/>
      </c>
      <c r="AC28" s="42" t="n">
        <v>40057</v>
      </c>
      <c r="AD28" s="43" t="n">
        <v>40470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40.81755189504266</v>
      </c>
      <c r="C29" s="40" t="n">
        <v>41.55083197118154</v>
      </c>
      <c r="D29" s="51" t="n">
        <v>41.61728296590127</v>
      </c>
      <c r="E29" s="40">
        <f>(C29-B29)+C29</f>
        <v/>
      </c>
      <c r="F29" s="41">
        <f>(C29-D29)/C29</f>
        <v/>
      </c>
      <c r="G29" s="44" t="n">
        <v>3019</v>
      </c>
      <c r="H29" s="43" t="n">
        <v>3047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1148</v>
      </c>
      <c r="N29" s="21" t="n">
        <v>1155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1871</v>
      </c>
      <c r="T29" s="43" t="n">
        <v>1892</v>
      </c>
      <c r="U29" s="16">
        <f>M29-S29</f>
        <v/>
      </c>
      <c r="V29" s="17" t="n">
        <v>1</v>
      </c>
      <c r="W29" s="19">
        <f>T29+U29+V29</f>
        <v/>
      </c>
      <c r="AC29" s="42" t="n">
        <v>3013</v>
      </c>
      <c r="AD29" s="43" t="n">
        <v>3041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746.817298827718</v>
      </c>
      <c r="C30" s="40" t="n">
        <v>764.4736264190285</v>
      </c>
      <c r="D30" s="51" t="n">
        <v>764.758599201942</v>
      </c>
      <c r="E30" s="40">
        <f>(C30-B30)+C30</f>
        <v/>
      </c>
      <c r="F30" s="41">
        <f>(C30-D30)/C30</f>
        <v/>
      </c>
      <c r="G30" s="44" t="n">
        <v>74978</v>
      </c>
      <c r="H30" s="43" t="n">
        <v>75793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19174</v>
      </c>
      <c r="N30" s="21" t="n">
        <v>19360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55804</v>
      </c>
      <c r="T30" s="43" t="n">
        <v>56433</v>
      </c>
      <c r="U30" s="16">
        <f>M30-S30</f>
        <v/>
      </c>
      <c r="V30" s="17" t="n">
        <v>29</v>
      </c>
      <c r="W30" s="19">
        <f>T30+U30+V30</f>
        <v/>
      </c>
      <c r="AC30" s="42" t="n">
        <v>74945</v>
      </c>
      <c r="AD30" s="43" t="n">
        <v>75760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1516.817581402763</v>
      </c>
      <c r="C31" s="40" t="n">
        <v>1548.046220349059</v>
      </c>
      <c r="D31" s="51" t="n">
        <v>1546.82582768724</v>
      </c>
      <c r="E31" s="40">
        <f>(C31-B31)+C31</f>
        <v/>
      </c>
      <c r="F31" s="41">
        <f>(C31-D31)/C31</f>
        <v/>
      </c>
      <c r="G31" s="44" t="n">
        <v>148664</v>
      </c>
      <c r="H31" s="43" t="n">
        <v>150655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51993</v>
      </c>
      <c r="N31" s="21" t="n">
        <v>52551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96671</v>
      </c>
      <c r="T31" s="43" t="n">
        <v>98104</v>
      </c>
      <c r="U31" s="16">
        <f>M31-S31</f>
        <v/>
      </c>
      <c r="V31" s="17" t="n">
        <v>45</v>
      </c>
      <c r="W31" s="19">
        <f>T31+U31+V31</f>
        <v/>
      </c>
      <c r="AC31" s="42" t="n">
        <v>148591</v>
      </c>
      <c r="AD31" s="43" t="n">
        <v>150582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7802.199703617178</v>
      </c>
      <c r="C32" s="40" t="n">
        <v>7899.154600201358</v>
      </c>
      <c r="D32" s="51" t="n">
        <v>7894.393857999261</v>
      </c>
      <c r="E32" s="40">
        <f>(C32-B32)+C32</f>
        <v/>
      </c>
      <c r="F32" s="41">
        <f>(C32-D32)/C32</f>
        <v/>
      </c>
      <c r="G32" s="44" t="n">
        <v>296037</v>
      </c>
      <c r="H32" s="43" t="n">
        <v>301731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153302</v>
      </c>
      <c r="N32" s="21" t="n">
        <v>156616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142735</v>
      </c>
      <c r="T32" s="43" t="n">
        <v>145115</v>
      </c>
      <c r="U32" s="16">
        <f>M32-S32</f>
        <v/>
      </c>
      <c r="V32" s="17" t="n">
        <v>56</v>
      </c>
      <c r="W32" s="19">
        <f>T32+U32+V32</f>
        <v/>
      </c>
      <c r="AC32" s="42" t="n">
        <v>295879</v>
      </c>
      <c r="AD32" s="43" t="n">
        <v>301573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1889.112560663579</v>
      </c>
      <c r="C33" s="40" t="n">
        <v>1923.506034555465</v>
      </c>
      <c r="D33" s="51" t="n">
        <v>1918.028682008474</v>
      </c>
      <c r="E33" s="40">
        <f>(C33-B33)+C33</f>
        <v/>
      </c>
      <c r="F33" s="41">
        <f>(C33-D33)/C33</f>
        <v/>
      </c>
      <c r="G33" s="44" t="n">
        <v>91635</v>
      </c>
      <c r="H33" s="43" t="n">
        <v>92557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50669</v>
      </c>
      <c r="N33" s="21" t="n">
        <v>51166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40966</v>
      </c>
      <c r="T33" s="43" t="n">
        <v>41391</v>
      </c>
      <c r="U33" s="16">
        <f>M33-S33</f>
        <v/>
      </c>
      <c r="V33" s="17" t="n">
        <v>15</v>
      </c>
      <c r="W33" s="19">
        <f>T33+U33+V33</f>
        <v/>
      </c>
      <c r="AC33" s="42" t="n">
        <v>91581</v>
      </c>
      <c r="AD33" s="43" t="n">
        <v>92503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3262511.373740912</v>
      </c>
      <c r="C34" s="28" t="n">
        <v>3441695.799541085</v>
      </c>
      <c r="D34" s="53" t="n">
        <v>3540572.23208133</v>
      </c>
      <c r="E34" s="28">
        <f>(C34-B34)+C34</f>
        <v/>
      </c>
      <c r="F34" s="30">
        <f>(C34-D34)/C34</f>
        <v/>
      </c>
      <c r="G34" s="26" t="n">
        <v>39841580</v>
      </c>
      <c r="H34" s="31" t="n">
        <v>41124664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2522916</v>
      </c>
      <c r="N34" s="33" t="n">
        <v>2556810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3442326</v>
      </c>
      <c r="T34" s="31" t="n">
        <v>3477619</v>
      </c>
      <c r="U34" s="31" t="n">
        <v>240028</v>
      </c>
      <c r="V34" s="31" t="n">
        <v>1244</v>
      </c>
      <c r="W34" s="31">
        <f>T34+U34+V34</f>
        <v/>
      </c>
      <c r="X34" s="32" t="n">
        <v>33876338</v>
      </c>
      <c r="Y34" s="34" t="n">
        <v>35090235</v>
      </c>
      <c r="Z34" s="34" t="n">
        <v>4986</v>
      </c>
      <c r="AA34" s="34" t="n">
        <v>272</v>
      </c>
      <c r="AB34" s="34">
        <f>Y34+Z34+AA34</f>
        <v/>
      </c>
      <c r="AC34" s="35" t="n">
        <v>5961602</v>
      </c>
      <c r="AD34" s="31" t="n">
        <v>6030792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33891</v>
      </c>
      <c r="E39" s="17">
        <f>D39+C39</f>
        <v/>
      </c>
    </row>
    <row r="42">
      <c r="A42" s="9" t="n"/>
      <c r="B42" s="54" t="n"/>
    </row>
    <row r="44">
      <c r="A44" s="9" t="n"/>
    </row>
    <row r="45">
      <c r="A45" s="9" t="n"/>
      <c r="B45" s="54" t="n"/>
      <c r="E45" s="9" t="n"/>
    </row>
    <row r="47">
      <c r="A47" s="9" t="n"/>
      <c r="B47" s="54" t="n"/>
      <c r="E47" s="9" t="n"/>
    </row>
    <row r="49">
      <c r="A49" s="9" t="n"/>
      <c r="B49" s="54" t="n"/>
      <c r="E49" s="9" t="n"/>
    </row>
    <row r="51">
      <c r="A51" s="9" t="n"/>
      <c r="B51" s="54" t="n"/>
      <c r="E51" s="9" t="n"/>
    </row>
    <row r="53">
      <c r="A53" s="9" t="n"/>
      <c r="B53" s="54" t="n"/>
      <c r="E53" s="9" t="n"/>
    </row>
    <row r="55">
      <c r="A55" s="9" t="n"/>
      <c r="B55" s="54" t="n"/>
      <c r="E55" s="9" t="n"/>
    </row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2009.79744691226</v>
      </c>
      <c r="C3" s="40" t="n">
        <v>2046.289289584873</v>
      </c>
      <c r="D3" s="51" t="n">
        <v>2044.437626342717</v>
      </c>
      <c r="E3" s="40">
        <f>(C3-B3)+C3</f>
        <v/>
      </c>
      <c r="F3" s="41">
        <f>(C3-D3)/C3</f>
        <v/>
      </c>
      <c r="G3" s="44" t="n">
        <v>154418</v>
      </c>
      <c r="H3" s="43" t="n">
        <v>157373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70710</v>
      </c>
      <c r="N3" s="21" t="n">
        <v>72125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83708</v>
      </c>
      <c r="T3" s="43" t="n">
        <v>85248</v>
      </c>
      <c r="U3" s="16">
        <f>M3-S3</f>
        <v/>
      </c>
      <c r="V3" s="17" t="n">
        <v>36</v>
      </c>
      <c r="W3" s="19">
        <f>T3+U3+V3</f>
        <v/>
      </c>
      <c r="AC3" s="42" t="n">
        <v>154344</v>
      </c>
      <c r="AD3" s="43" t="n">
        <v>157299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84044.04813739465</v>
      </c>
      <c r="C4" s="40" t="n">
        <v>86466.26000557582</v>
      </c>
      <c r="D4" s="51" t="n">
        <v>86375.31489414701</v>
      </c>
      <c r="E4" s="40">
        <f>(C4-B4)+C4</f>
        <v/>
      </c>
      <c r="F4" s="41">
        <f>(C4-D4)/C4</f>
        <v/>
      </c>
      <c r="G4" s="44" t="n">
        <v>169964</v>
      </c>
      <c r="H4" s="43" t="n">
        <v>172482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162477</v>
      </c>
      <c r="N4" s="21" t="n">
        <v>164885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7487</v>
      </c>
      <c r="T4" s="43" t="n">
        <v>7597</v>
      </c>
      <c r="U4" s="16">
        <f>M4-S4</f>
        <v/>
      </c>
      <c r="V4" s="17" t="n">
        <v>6</v>
      </c>
      <c r="W4" s="19">
        <f>T4+U4+V4</f>
        <v/>
      </c>
      <c r="AC4" s="42" t="n">
        <v>169601</v>
      </c>
      <c r="AD4" s="43" t="n">
        <v>172119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2684.445548678606</v>
      </c>
      <c r="C5" s="40" t="n">
        <v>2732.36563927825</v>
      </c>
      <c r="D5" s="51" t="n">
        <v>2730.546806946259</v>
      </c>
      <c r="E5" s="40">
        <f>(C5-B5)+C5</f>
        <v/>
      </c>
      <c r="F5" s="41">
        <f>(C5-D5)/C5</f>
        <v/>
      </c>
      <c r="G5" s="44" t="n">
        <v>315706</v>
      </c>
      <c r="H5" s="43" t="n">
        <v>319888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95209</v>
      </c>
      <c r="N5" s="21" t="n">
        <v>96685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220497</v>
      </c>
      <c r="T5" s="43" t="n">
        <v>223203</v>
      </c>
      <c r="U5" s="16">
        <f>M5-S5</f>
        <v/>
      </c>
      <c r="V5" s="17" t="n">
        <v>38</v>
      </c>
      <c r="W5" s="19">
        <f>T5+U5+V5</f>
        <v/>
      </c>
      <c r="AC5" s="42" t="n">
        <v>315589</v>
      </c>
      <c r="AD5" s="43" t="n">
        <v>319771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424.7800435946544</v>
      </c>
      <c r="C6" s="40" t="n">
        <v>433.518514100043</v>
      </c>
      <c r="D6" s="51" t="n">
        <v>434.6958897445851</v>
      </c>
      <c r="E6" s="40">
        <f>(C6-B6)+C6</f>
        <v/>
      </c>
      <c r="F6" s="41">
        <f>(C6-D6)/C6</f>
        <v/>
      </c>
      <c r="G6" s="25" t="n">
        <v>51795</v>
      </c>
      <c r="H6" s="21" t="n">
        <v>52714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19961</v>
      </c>
      <c r="N6" s="21" t="n">
        <v>20348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31834</v>
      </c>
      <c r="T6" s="43" t="n">
        <v>32366</v>
      </c>
      <c r="U6" s="16">
        <f>M6-S6</f>
        <v/>
      </c>
      <c r="V6" s="17" t="n">
        <v>4</v>
      </c>
      <c r="W6" s="19">
        <f>T6+U6+V6</f>
        <v/>
      </c>
      <c r="AC6" s="25" t="n">
        <v>51778</v>
      </c>
      <c r="AD6" s="21" t="n">
        <v>52697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13334.93912366881</v>
      </c>
      <c r="C7" s="40" t="n">
        <v>13583.77171128035</v>
      </c>
      <c r="D7" s="51" t="n">
        <v>13552.30285017706</v>
      </c>
      <c r="E7" s="40">
        <f>(C7-B7)+C7</f>
        <v/>
      </c>
      <c r="F7" s="41">
        <f>(C7-D7)/C7</f>
        <v/>
      </c>
      <c r="G7" s="44" t="n">
        <v>719443</v>
      </c>
      <c r="H7" s="43" t="n">
        <v>735498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376995</v>
      </c>
      <c r="N7" s="21" t="n">
        <v>385671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342448</v>
      </c>
      <c r="T7" s="43" t="n">
        <v>349827</v>
      </c>
      <c r="U7" s="16">
        <f>M7-S7</f>
        <v/>
      </c>
      <c r="V7" s="17" t="n">
        <v>96</v>
      </c>
      <c r="W7" s="19">
        <f>T7+U7+V7</f>
        <v/>
      </c>
      <c r="AC7" s="42" t="n">
        <v>718998</v>
      </c>
      <c r="AD7" s="43" t="n">
        <v>735051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1575.772134150654</v>
      </c>
      <c r="C8" s="40" t="n">
        <v>1603.891350404861</v>
      </c>
      <c r="D8" s="51" t="n">
        <v>1604.90390424201</v>
      </c>
      <c r="E8" s="40">
        <f>(C8-B8)+C8</f>
        <v/>
      </c>
      <c r="F8" s="41">
        <f>(C8-D8)/C8</f>
        <v/>
      </c>
      <c r="G8" s="44" t="n">
        <v>127090</v>
      </c>
      <c r="H8" s="43" t="n">
        <v>128956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52177</v>
      </c>
      <c r="N8" s="21" t="n">
        <v>52969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74913</v>
      </c>
      <c r="T8" s="43" t="n">
        <v>75987</v>
      </c>
      <c r="U8" s="16">
        <f>M8-S8</f>
        <v/>
      </c>
      <c r="V8" s="17" t="n">
        <v>23</v>
      </c>
      <c r="W8" s="19">
        <f>T8+U8+V8</f>
        <v/>
      </c>
      <c r="AC8" s="42" t="n">
        <v>127024</v>
      </c>
      <c r="AD8" s="43" t="n">
        <v>128890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2568.916795747693</v>
      </c>
      <c r="C9" s="40" t="n">
        <v>2582.893078502949</v>
      </c>
      <c r="D9" s="51" t="n">
        <v>2584.541967558226</v>
      </c>
      <c r="E9" s="40">
        <f>(C9-B9)+C9</f>
        <v/>
      </c>
      <c r="F9" s="41">
        <f>(C9-D9)/C9</f>
        <v/>
      </c>
      <c r="G9" s="44" t="n">
        <v>86962</v>
      </c>
      <c r="H9" s="43" t="n">
        <v>88219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38920</v>
      </c>
      <c r="N9" s="21" t="n">
        <v>39523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48042</v>
      </c>
      <c r="T9" s="43" t="n">
        <v>48696</v>
      </c>
      <c r="U9" s="16">
        <f>M9-S9</f>
        <v/>
      </c>
      <c r="V9" s="17" t="n">
        <v>27</v>
      </c>
      <c r="W9" s="19">
        <f>T9+U9+V9</f>
        <v/>
      </c>
      <c r="AC9" s="42" t="n">
        <v>86924</v>
      </c>
      <c r="AD9" s="43" t="n">
        <v>88181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2677.421111549641</v>
      </c>
      <c r="C10" s="40" t="n">
        <v>2730.528224068223</v>
      </c>
      <c r="D10" s="51" t="n">
        <v>2718.144738007054</v>
      </c>
      <c r="E10" s="40">
        <f>(C10-B10)+C10</f>
        <v/>
      </c>
      <c r="F10" s="41">
        <f>(C10-D10)/C10</f>
        <v/>
      </c>
      <c r="G10" s="44" t="n">
        <v>214825</v>
      </c>
      <c r="H10" s="43" t="n">
        <v>217413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36077</v>
      </c>
      <c r="N10" s="21" t="n">
        <v>36919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178748</v>
      </c>
      <c r="T10" s="43" t="n">
        <v>180494</v>
      </c>
      <c r="U10" s="16">
        <f>M10-S10</f>
        <v/>
      </c>
      <c r="V10" s="17" t="n">
        <v>44</v>
      </c>
      <c r="W10" s="19">
        <f>T10+U10+V10</f>
        <v/>
      </c>
      <c r="AC10" s="42" t="n">
        <v>214802</v>
      </c>
      <c r="AD10" s="43" t="n">
        <v>217390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1504.164243910145</v>
      </c>
      <c r="C11" s="40" t="n">
        <v>1536.535449235881</v>
      </c>
      <c r="D11" s="51" t="n">
        <v>1535.942615345735</v>
      </c>
      <c r="E11" s="40">
        <f>(C11-B11)+C11</f>
        <v/>
      </c>
      <c r="F11" s="41">
        <f>(C11-D11)/C11</f>
        <v/>
      </c>
      <c r="G11" s="44" t="n">
        <v>183422</v>
      </c>
      <c r="H11" s="43" t="n">
        <v>186946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67230</v>
      </c>
      <c r="N11" s="21" t="n">
        <v>68659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116192</v>
      </c>
      <c r="T11" s="43" t="n">
        <v>118287</v>
      </c>
      <c r="U11" s="16">
        <f>M11-S11</f>
        <v/>
      </c>
      <c r="V11" s="17" t="n">
        <v>53</v>
      </c>
      <c r="W11" s="19">
        <f>T11+U11+V11</f>
        <v/>
      </c>
      <c r="AC11" s="42" t="n">
        <v>183347</v>
      </c>
      <c r="AD11" s="43" t="n">
        <v>186871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2738.261191249262</v>
      </c>
      <c r="C12" s="40" t="n">
        <v>2803.981616119861</v>
      </c>
      <c r="D12" s="51" t="n">
        <v>2796.709469887508</v>
      </c>
      <c r="E12" s="40">
        <f>(C12-B12)+C12</f>
        <v/>
      </c>
      <c r="F12" s="41">
        <f>(C12-D12)/C12</f>
        <v/>
      </c>
      <c r="G12" s="44" t="n">
        <v>273219</v>
      </c>
      <c r="H12" s="43" t="n">
        <v>280484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109877</v>
      </c>
      <c r="N12" s="21" t="n">
        <v>111782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163342</v>
      </c>
      <c r="T12" s="43" t="n">
        <v>168702</v>
      </c>
      <c r="U12" s="16">
        <f>M12-S12</f>
        <v/>
      </c>
      <c r="V12" s="17" t="n">
        <v>64</v>
      </c>
      <c r="W12" s="19">
        <f>T12+U12+V12</f>
        <v/>
      </c>
      <c r="AC12" s="42" t="n">
        <v>273077</v>
      </c>
      <c r="AD12" s="43" t="n">
        <v>280342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786.0686625073828</v>
      </c>
      <c r="C13" s="40" t="n">
        <v>802.5949057202632</v>
      </c>
      <c r="D13" s="51" t="n">
        <v>804.684948949858</v>
      </c>
      <c r="E13" s="40">
        <f>(C13-B13)+C13</f>
        <v/>
      </c>
      <c r="F13" s="41">
        <f>(C13-D13)/C13</f>
        <v/>
      </c>
      <c r="G13" s="44" t="n">
        <v>70704</v>
      </c>
      <c r="H13" s="43" t="n">
        <v>72185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19639</v>
      </c>
      <c r="N13" s="21" t="n">
        <v>20129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51065</v>
      </c>
      <c r="T13" s="43" t="n">
        <v>52056</v>
      </c>
      <c r="U13" s="16">
        <f>M13-S13</f>
        <v/>
      </c>
      <c r="V13" s="17" t="n">
        <v>36</v>
      </c>
      <c r="W13" s="19">
        <f>T13+U13+V13</f>
        <v/>
      </c>
      <c r="AC13" s="42" t="n">
        <v>70668</v>
      </c>
      <c r="AD13" s="43" t="n">
        <v>72149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3422.247943461009</v>
      </c>
      <c r="C14" s="40" t="n">
        <v>3485.169542201868</v>
      </c>
      <c r="D14" s="51" t="n">
        <v>3480.79368698478</v>
      </c>
      <c r="E14" s="40">
        <f>(C14-B14)+C14</f>
        <v/>
      </c>
      <c r="F14" s="41">
        <f>(C14-D14)/C14</f>
        <v/>
      </c>
      <c r="G14" s="44" t="n">
        <v>230930</v>
      </c>
      <c r="H14" s="43" t="n">
        <v>237595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82761</v>
      </c>
      <c r="N14" s="21" t="n">
        <v>84574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148169</v>
      </c>
      <c r="T14" s="43" t="n">
        <v>153021</v>
      </c>
      <c r="U14" s="16">
        <f>M14-S14</f>
        <v/>
      </c>
      <c r="V14" s="17" t="n">
        <v>50</v>
      </c>
      <c r="W14" s="19">
        <f>T14+U14+V14</f>
        <v/>
      </c>
      <c r="AC14" s="42" t="n">
        <v>230823</v>
      </c>
      <c r="AD14" s="43" t="n">
        <v>237488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2628.581054607704</v>
      </c>
      <c r="C15" s="40" t="n">
        <v>2681.764500605178</v>
      </c>
      <c r="D15" s="51" t="n">
        <v>2684.885097161531</v>
      </c>
      <c r="E15" s="40">
        <f>(C15-B15)+C15</f>
        <v/>
      </c>
      <c r="F15" s="41">
        <f>(C15-D15)/C15</f>
        <v/>
      </c>
      <c r="G15" s="44" t="n">
        <v>231106</v>
      </c>
      <c r="H15" s="43" t="n">
        <v>234362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78117</v>
      </c>
      <c r="N15" s="21" t="n">
        <v>79366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152989</v>
      </c>
      <c r="T15" s="43" t="n">
        <v>154996</v>
      </c>
      <c r="U15" s="16">
        <f>M15-S15</f>
        <v/>
      </c>
      <c r="V15" s="17" t="n">
        <v>53</v>
      </c>
      <c r="W15" s="19">
        <f>T15+U15+V15</f>
        <v/>
      </c>
      <c r="AC15" s="42" t="n">
        <v>230994</v>
      </c>
      <c r="AD15" s="43" t="n">
        <v>234247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461.5977868290599</v>
      </c>
      <c r="C16" s="40" t="n">
        <v>471.3471538613732</v>
      </c>
      <c r="D16" s="51" t="n">
        <v>471.6858840911249</v>
      </c>
      <c r="E16" s="40">
        <f>(C16-B16)+C16</f>
        <v/>
      </c>
      <c r="F16" s="41">
        <f>(C16-D16)/C16</f>
        <v/>
      </c>
      <c r="G16" s="44" t="n">
        <v>65691</v>
      </c>
      <c r="H16" s="43" t="n">
        <v>67377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18641</v>
      </c>
      <c r="N16" s="21" t="n">
        <v>18947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47050</v>
      </c>
      <c r="T16" s="43" t="n">
        <v>48430</v>
      </c>
      <c r="U16" s="16">
        <f>M16-S16</f>
        <v/>
      </c>
      <c r="V16" s="17" t="n">
        <v>11</v>
      </c>
      <c r="W16" s="19">
        <f>T16+U16+V16</f>
        <v/>
      </c>
      <c r="AC16" s="42" t="n">
        <v>65671</v>
      </c>
      <c r="AD16" s="43" t="n">
        <v>67357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4379.782443234157</v>
      </c>
      <c r="C17" s="40" t="n">
        <v>4459.047971797822</v>
      </c>
      <c r="D17" s="51" t="n">
        <v>4451.47156515</v>
      </c>
      <c r="E17" s="40">
        <f>(C17-B17)+C17</f>
        <v/>
      </c>
      <c r="F17" s="41">
        <f>(C17-D17)/C17</f>
        <v/>
      </c>
      <c r="G17" s="44" t="n">
        <v>284233</v>
      </c>
      <c r="H17" s="43" t="n">
        <v>289018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140508</v>
      </c>
      <c r="N17" s="21" t="n">
        <v>143064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143725</v>
      </c>
      <c r="T17" s="43" t="n">
        <v>145954</v>
      </c>
      <c r="U17" s="16">
        <f>M17-S17</f>
        <v/>
      </c>
      <c r="V17" s="17" t="n">
        <v>147</v>
      </c>
      <c r="W17" s="19">
        <f>T17+U17+V17</f>
        <v/>
      </c>
      <c r="AC17" s="42" t="n">
        <v>284094</v>
      </c>
      <c r="AD17" s="43" t="n">
        <v>288879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1477.696615003605</v>
      </c>
      <c r="C18" s="40" t="n">
        <v>1499.935827504141</v>
      </c>
      <c r="D18" s="51" t="n">
        <v>1503.014222656946</v>
      </c>
      <c r="E18" s="40">
        <f>(C18-B18)+C18</f>
        <v/>
      </c>
      <c r="F18" s="41">
        <f>(C18-D18)/C18</f>
        <v/>
      </c>
      <c r="G18" s="44" t="n">
        <v>273074</v>
      </c>
      <c r="H18" s="43" t="n">
        <v>275018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34418</v>
      </c>
      <c r="N18" s="21" t="n">
        <v>35101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238656</v>
      </c>
      <c r="T18" s="43" t="n">
        <v>239917</v>
      </c>
      <c r="U18" s="16">
        <f>M18-S18</f>
        <v/>
      </c>
      <c r="V18" s="17" t="n">
        <v>28</v>
      </c>
      <c r="W18" s="19">
        <f>T18+U18+V18</f>
        <v/>
      </c>
      <c r="AC18" s="42" t="n">
        <v>272970</v>
      </c>
      <c r="AD18" s="43" t="n">
        <v>274912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1471.034203686768</v>
      </c>
      <c r="C19" s="40" t="n">
        <v>1494.632503800452</v>
      </c>
      <c r="D19" s="51" t="n">
        <v>1495.61760039938</v>
      </c>
      <c r="E19" s="40">
        <f>(C19-B19)+C19</f>
        <v/>
      </c>
      <c r="F19" s="41">
        <f>(C19-D19)/C19</f>
        <v/>
      </c>
      <c r="G19" s="44" t="n">
        <v>114269</v>
      </c>
      <c r="H19" s="43" t="n">
        <v>116169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39568</v>
      </c>
      <c r="N19" s="21" t="n">
        <v>40258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74701</v>
      </c>
      <c r="T19" s="43" t="n">
        <v>75911</v>
      </c>
      <c r="U19" s="16">
        <f>M19-S19</f>
        <v/>
      </c>
      <c r="V19" s="17" t="n">
        <v>60</v>
      </c>
      <c r="W19" s="19">
        <f>T19+U19+V19</f>
        <v/>
      </c>
      <c r="AC19" s="42" t="n">
        <v>114195</v>
      </c>
      <c r="AD19" s="43" t="n">
        <v>116095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568.0014058937212</v>
      </c>
      <c r="C20" s="40" t="n">
        <v>580.7107299748401</v>
      </c>
      <c r="D20" s="51" t="n">
        <v>580.0015159799409</v>
      </c>
      <c r="E20" s="40">
        <f>(C20-B20)+C20</f>
        <v/>
      </c>
      <c r="F20" s="41">
        <f>(C20-D20)/C20</f>
        <v/>
      </c>
      <c r="G20" s="44" t="n">
        <v>70276</v>
      </c>
      <c r="H20" s="43" t="n">
        <v>71352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20724</v>
      </c>
      <c r="N20" s="21" t="n">
        <v>21080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49552</v>
      </c>
      <c r="T20" s="43" t="n">
        <v>50272</v>
      </c>
      <c r="U20" s="16">
        <f>M20-S20</f>
        <v/>
      </c>
      <c r="V20" s="17" t="n">
        <v>24</v>
      </c>
      <c r="W20" s="19">
        <f>T20+U20+V20</f>
        <v/>
      </c>
      <c r="AC20" s="42" t="n">
        <v>70224</v>
      </c>
      <c r="AD20" s="43" t="n">
        <v>71300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202.4537597028428</v>
      </c>
      <c r="C21" s="40" t="n">
        <v>206.3988207635172</v>
      </c>
      <c r="D21" s="51" t="n">
        <v>206.4684301244357</v>
      </c>
      <c r="E21" s="40">
        <f>(C21-B21)+C21</f>
        <v/>
      </c>
      <c r="F21" s="41">
        <f>(C21-D21)/C21</f>
        <v/>
      </c>
      <c r="G21" s="25" t="n">
        <v>20773</v>
      </c>
      <c r="H21" s="21" t="n">
        <v>21074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8556</v>
      </c>
      <c r="N21" s="21" t="n">
        <v>8690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12217</v>
      </c>
      <c r="T21" s="43" t="n">
        <v>12384</v>
      </c>
      <c r="U21" s="16">
        <f>M21-S21</f>
        <v/>
      </c>
      <c r="V21" s="17" t="n">
        <v>25</v>
      </c>
      <c r="W21" s="19">
        <f>T21+U21+V21</f>
        <v/>
      </c>
      <c r="AC21" s="25" t="n">
        <v>20760</v>
      </c>
      <c r="AD21" s="21" t="n">
        <v>21061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108.687630576526</v>
      </c>
      <c r="C22" s="40" t="n">
        <v>111.021593036206</v>
      </c>
      <c r="D22" s="51" t="n">
        <v>111.230043214153</v>
      </c>
      <c r="E22" s="40">
        <f>(C22-B22)+C22</f>
        <v/>
      </c>
      <c r="F22" s="41">
        <f>(C22-D22)/C22</f>
        <v/>
      </c>
      <c r="G22" s="44" t="n">
        <v>10082</v>
      </c>
      <c r="H22" s="43" t="n">
        <v>10227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3838</v>
      </c>
      <c r="N22" s="21" t="n">
        <v>3903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6244</v>
      </c>
      <c r="T22" s="43" t="n">
        <v>6324</v>
      </c>
      <c r="U22" s="16">
        <f>M22-S22</f>
        <v/>
      </c>
      <c r="V22" s="17" t="n">
        <v>6</v>
      </c>
      <c r="W22" s="19">
        <f>T22+U22+V22</f>
        <v/>
      </c>
      <c r="AC22" s="42" t="n">
        <v>10065</v>
      </c>
      <c r="AD22" s="43" t="n">
        <v>10210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3185.864367376188</v>
      </c>
      <c r="C23" s="40" t="n">
        <v>3251.758951454959</v>
      </c>
      <c r="D23" s="51" t="n">
        <v>3248.400873527258</v>
      </c>
      <c r="E23" s="40">
        <f>(C23-B23)+C23</f>
        <v/>
      </c>
      <c r="F23" s="41">
        <f>(C23-D23)/C23</f>
        <v/>
      </c>
      <c r="G23" s="44" t="n">
        <v>370781</v>
      </c>
      <c r="H23" s="43" t="n">
        <v>376111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151235</v>
      </c>
      <c r="N23" s="21" t="n">
        <v>153803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219546</v>
      </c>
      <c r="T23" s="43" t="n">
        <v>222308</v>
      </c>
      <c r="U23" s="16">
        <f>M23-S23</f>
        <v/>
      </c>
      <c r="V23" s="17" t="n">
        <v>55</v>
      </c>
      <c r="W23" s="19">
        <f>T23+U23+V23</f>
        <v/>
      </c>
      <c r="AC23" s="42" t="n">
        <v>370670</v>
      </c>
      <c r="AD23" s="43" t="n">
        <v>376000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769.7307217014637</v>
      </c>
      <c r="C24" s="40" t="n">
        <v>785.4862844498323</v>
      </c>
      <c r="D24" s="51" t="n">
        <v>787.3972251370587</v>
      </c>
      <c r="E24" s="40">
        <f>(C24-B24)+C24</f>
        <v/>
      </c>
      <c r="F24" s="41">
        <f>(C24-D24)/C24</f>
        <v/>
      </c>
      <c r="G24" s="44" t="n">
        <v>89122</v>
      </c>
      <c r="H24" s="43" t="n">
        <v>90609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34595</v>
      </c>
      <c r="N24" s="21" t="n">
        <v>35147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54527</v>
      </c>
      <c r="T24" s="43" t="n">
        <v>55462</v>
      </c>
      <c r="U24" s="16">
        <f>M24-S24</f>
        <v/>
      </c>
      <c r="V24" s="17" t="n">
        <v>19</v>
      </c>
      <c r="W24" s="19">
        <f>T24+U24+V24</f>
        <v/>
      </c>
      <c r="AC24" s="42" t="n">
        <v>89083</v>
      </c>
      <c r="AD24" s="43" t="n">
        <v>90570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989.0650891262302</v>
      </c>
      <c r="C25" s="40" t="n">
        <v>1009.225790322931</v>
      </c>
      <c r="D25" s="51" t="n">
        <v>1008.907063917373</v>
      </c>
      <c r="E25" s="40">
        <f>(C25-B25)+C25</f>
        <v/>
      </c>
      <c r="F25" s="41">
        <f>(C25-D25)/C25</f>
        <v/>
      </c>
      <c r="G25" s="44" t="n">
        <v>139448</v>
      </c>
      <c r="H25" s="43" t="n">
        <v>140881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36514</v>
      </c>
      <c r="N25" s="21" t="n">
        <v>37071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102934</v>
      </c>
      <c r="T25" s="43" t="n">
        <v>103810</v>
      </c>
      <c r="U25" s="16">
        <f>M25-S25</f>
        <v/>
      </c>
      <c r="V25" s="17" t="n">
        <v>20</v>
      </c>
      <c r="W25" s="19">
        <f>T25+U25+V25</f>
        <v/>
      </c>
      <c r="AC25" s="42" t="n">
        <v>139414</v>
      </c>
      <c r="AD25" s="43" t="n">
        <v>140847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8212.328106231462</v>
      </c>
      <c r="C26" s="40" t="n">
        <v>8384.649086292953</v>
      </c>
      <c r="D26" s="51" t="n">
        <v>8370.122188609901</v>
      </c>
      <c r="E26" s="40">
        <f>(C26-B26)+C26</f>
        <v/>
      </c>
      <c r="F26" s="41">
        <f>(C26-D26)/C26</f>
        <v/>
      </c>
      <c r="G26" s="44" t="n">
        <v>151731</v>
      </c>
      <c r="H26" s="43" t="n">
        <v>154186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139382</v>
      </c>
      <c r="N26" s="21" t="n">
        <v>141658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12349</v>
      </c>
      <c r="T26" s="43" t="n">
        <v>12528</v>
      </c>
      <c r="U26" s="16">
        <f>M26-S26</f>
        <v/>
      </c>
      <c r="V26" s="17" t="n">
        <v>9</v>
      </c>
      <c r="W26" s="19">
        <f>T26+U26+V26</f>
        <v/>
      </c>
      <c r="AC26" s="42" t="n">
        <v>151558</v>
      </c>
      <c r="AD26" s="43" t="n">
        <v>154013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4068.223372440444</v>
      </c>
      <c r="C27" s="40" t="n">
        <v>4137.602811562801</v>
      </c>
      <c r="D27" s="51" t="n">
        <v>4139.468009509366</v>
      </c>
      <c r="E27" s="40">
        <f>(C27-B27)+C27</f>
        <v/>
      </c>
      <c r="F27" s="41">
        <f>(C27-D27)/C27</f>
        <v/>
      </c>
      <c r="G27" s="44" t="n">
        <v>257003</v>
      </c>
      <c r="H27" s="43" t="n">
        <v>260752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131032</v>
      </c>
      <c r="N27" s="21" t="n">
        <v>133277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125971</v>
      </c>
      <c r="T27" s="43" t="n">
        <v>127475</v>
      </c>
      <c r="U27" s="16">
        <f>M27-S27</f>
        <v/>
      </c>
      <c r="V27" s="17" t="n">
        <v>60</v>
      </c>
      <c r="W27" s="19">
        <f>T27+U27+V27</f>
        <v/>
      </c>
      <c r="AC27" s="42" t="n">
        <v>256843</v>
      </c>
      <c r="AD27" s="43" t="n">
        <v>260593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1355.554057510642</v>
      </c>
      <c r="C28" s="40" t="n">
        <v>1373.520120867096</v>
      </c>
      <c r="D28" s="51" t="n">
        <v>1371.596050447518</v>
      </c>
      <c r="E28" s="40">
        <f>(C28-B28)+C28</f>
        <v/>
      </c>
      <c r="F28" s="41">
        <f>(C28-D28)/C28</f>
        <v/>
      </c>
      <c r="G28" s="44" t="n">
        <v>40501</v>
      </c>
      <c r="H28" s="43" t="n">
        <v>41214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24625</v>
      </c>
      <c r="N28" s="21" t="n">
        <v>25011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15876</v>
      </c>
      <c r="T28" s="43" t="n">
        <v>16203</v>
      </c>
      <c r="U28" s="16">
        <f>M28-S28</f>
        <v/>
      </c>
      <c r="V28" s="17" t="n">
        <v>6</v>
      </c>
      <c r="W28" s="19">
        <f>T28+U28+V28</f>
        <v/>
      </c>
      <c r="AC28" s="42" t="n">
        <v>40470</v>
      </c>
      <c r="AD28" s="43" t="n">
        <v>41183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41.55083197118154</v>
      </c>
      <c r="C29" s="40" t="n">
        <v>42.51485767040694</v>
      </c>
      <c r="D29" s="51" t="n">
        <v>42.28411204732041</v>
      </c>
      <c r="E29" s="40">
        <f>(C29-B29)+C29</f>
        <v/>
      </c>
      <c r="F29" s="41">
        <f>(C29-D29)/C29</f>
        <v/>
      </c>
      <c r="G29" s="44" t="n">
        <v>3047</v>
      </c>
      <c r="H29" s="43" t="n">
        <v>3104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1155</v>
      </c>
      <c r="N29" s="21" t="n">
        <v>1185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1892</v>
      </c>
      <c r="T29" s="43" t="n">
        <v>1919</v>
      </c>
      <c r="U29" s="16">
        <f>M29-S29</f>
        <v/>
      </c>
      <c r="V29" s="17" t="n">
        <v>1</v>
      </c>
      <c r="W29" s="19">
        <f>T29+U29+V29</f>
        <v/>
      </c>
      <c r="AC29" s="42" t="n">
        <v>3041</v>
      </c>
      <c r="AD29" s="43" t="n">
        <v>3098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764.4736264190285</v>
      </c>
      <c r="C30" s="40" t="n">
        <v>780.3998752105246</v>
      </c>
      <c r="D30" s="51" t="n">
        <v>782.129954010339</v>
      </c>
      <c r="E30" s="40">
        <f>(C30-B30)+C30</f>
        <v/>
      </c>
      <c r="F30" s="41">
        <f>(C30-D30)/C30</f>
        <v/>
      </c>
      <c r="G30" s="44" t="n">
        <v>75793</v>
      </c>
      <c r="H30" s="43" t="n">
        <v>77055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19360</v>
      </c>
      <c r="N30" s="21" t="n">
        <v>19686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56433</v>
      </c>
      <c r="T30" s="43" t="n">
        <v>57369</v>
      </c>
      <c r="U30" s="16">
        <f>M30-S30</f>
        <v/>
      </c>
      <c r="V30" s="17" t="n">
        <v>29</v>
      </c>
      <c r="W30" s="19">
        <f>T30+U30+V30</f>
        <v/>
      </c>
      <c r="AC30" s="42" t="n">
        <v>75760</v>
      </c>
      <c r="AD30" s="43" t="n">
        <v>77022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1548.046220349059</v>
      </c>
      <c r="C31" s="40" t="n">
        <v>1578.210253275638</v>
      </c>
      <c r="D31" s="51" t="n">
        <v>1579.274859295355</v>
      </c>
      <c r="E31" s="40">
        <f>(C31-B31)+C31</f>
        <v/>
      </c>
      <c r="F31" s="41">
        <f>(C31-D31)/C31</f>
        <v/>
      </c>
      <c r="G31" s="44" t="n">
        <v>150655</v>
      </c>
      <c r="H31" s="43" t="n">
        <v>153363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52551</v>
      </c>
      <c r="N31" s="21" t="n">
        <v>53408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98104</v>
      </c>
      <c r="T31" s="43" t="n">
        <v>99955</v>
      </c>
      <c r="U31" s="16">
        <f>M31-S31</f>
        <v/>
      </c>
      <c r="V31" s="17" t="n">
        <v>45</v>
      </c>
      <c r="W31" s="19">
        <f>T31+U31+V31</f>
        <v/>
      </c>
      <c r="AC31" s="42" t="n">
        <v>150582</v>
      </c>
      <c r="AD31" s="43" t="n">
        <v>153290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7899.154600201358</v>
      </c>
      <c r="C32" s="40" t="n">
        <v>8015.232253648747</v>
      </c>
      <c r="D32" s="51" t="n">
        <v>7996.109496785539</v>
      </c>
      <c r="E32" s="40">
        <f>(C32-B32)+C32</f>
        <v/>
      </c>
      <c r="F32" s="41">
        <f>(C32-D32)/C32</f>
        <v/>
      </c>
      <c r="G32" s="44" t="n">
        <v>301731</v>
      </c>
      <c r="H32" s="43" t="n">
        <v>309057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156616</v>
      </c>
      <c r="N32" s="21" t="n">
        <v>160541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145115</v>
      </c>
      <c r="T32" s="43" t="n">
        <v>148516</v>
      </c>
      <c r="U32" s="16">
        <f>M32-S32</f>
        <v/>
      </c>
      <c r="V32" s="17" t="n">
        <v>56</v>
      </c>
      <c r="W32" s="19">
        <f>T32+U32+V32</f>
        <v/>
      </c>
      <c r="AC32" s="42" t="n">
        <v>301573</v>
      </c>
      <c r="AD32" s="43" t="n">
        <v>308899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1923.506034555465</v>
      </c>
      <c r="C33" s="40" t="n">
        <v>1957.301611384108</v>
      </c>
      <c r="D33" s="51" t="n">
        <v>1957.89950844735</v>
      </c>
      <c r="E33" s="40">
        <f>(C33-B33)+C33</f>
        <v/>
      </c>
      <c r="F33" s="41">
        <f>(C33-D33)/C33</f>
        <v/>
      </c>
      <c r="G33" s="44" t="n">
        <v>92557</v>
      </c>
      <c r="H33" s="43" t="n">
        <v>94270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51166</v>
      </c>
      <c r="N33" s="21" t="n">
        <v>52069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41391</v>
      </c>
      <c r="T33" s="43" t="n">
        <v>42201</v>
      </c>
      <c r="U33" s="16">
        <f>M33-S33</f>
        <v/>
      </c>
      <c r="V33" s="17" t="n">
        <v>15</v>
      </c>
      <c r="W33" s="19">
        <f>T33+U33+V33</f>
        <v/>
      </c>
      <c r="AC33" s="42" t="n">
        <v>92503</v>
      </c>
      <c r="AD33" s="43" t="n">
        <v>94216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3441695.799541085</v>
      </c>
      <c r="C34" s="28" t="n">
        <v>3661047.5345147</v>
      </c>
      <c r="D34" s="53" t="n">
        <v>3620880.225341259</v>
      </c>
      <c r="E34" s="28">
        <f>(C34-B34)+C34</f>
        <v/>
      </c>
      <c r="F34" s="30">
        <f>(C34-D34)/C34</f>
        <v/>
      </c>
      <c r="G34" s="26" t="n">
        <v>41124664</v>
      </c>
      <c r="H34" s="31" t="n">
        <v>42796459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2556810</v>
      </c>
      <c r="N34" s="33" t="n">
        <v>2604037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3477619</v>
      </c>
      <c r="T34" s="31" t="n">
        <v>3534376</v>
      </c>
      <c r="U34" s="31" t="n">
        <v>240028</v>
      </c>
      <c r="V34" s="31" t="n">
        <v>1244</v>
      </c>
      <c r="W34" s="31">
        <f>T34+U34+V34</f>
        <v/>
      </c>
      <c r="X34" s="32" t="n">
        <v>35090235</v>
      </c>
      <c r="Y34" s="34" t="n">
        <v>36658046</v>
      </c>
      <c r="Z34" s="34" t="n">
        <v>4986</v>
      </c>
      <c r="AA34" s="34" t="n">
        <v>272</v>
      </c>
      <c r="AB34" s="34">
        <f>Y34+Z34+AA34</f>
        <v/>
      </c>
      <c r="AC34" s="35" t="n">
        <v>6030792</v>
      </c>
      <c r="AD34" s="31" t="n">
        <v>6134770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34467</v>
      </c>
      <c r="E39" s="17">
        <f>D39+C39</f>
        <v/>
      </c>
    </row>
    <row r="42">
      <c r="A42" s="9" t="n"/>
      <c r="B42" s="54" t="n"/>
    </row>
    <row r="44">
      <c r="A44" s="9" t="n"/>
    </row>
    <row r="45">
      <c r="A45" s="9" t="n"/>
      <c r="B45" s="54" t="n"/>
      <c r="E45" s="9" t="n"/>
    </row>
    <row r="47">
      <c r="A47" s="9" t="n"/>
      <c r="B47" s="54" t="n"/>
      <c r="E47" s="9" t="n"/>
    </row>
    <row r="49">
      <c r="A49" s="9" t="n"/>
      <c r="B49" s="54" t="n"/>
      <c r="E49" s="9" t="n"/>
    </row>
    <row r="51">
      <c r="A51" s="9" t="n"/>
      <c r="B51" s="54" t="n"/>
      <c r="E51" s="9" t="n"/>
    </row>
    <row r="53">
      <c r="A53" s="9" t="n"/>
      <c r="B53" s="54" t="n"/>
      <c r="E53" s="9" t="n"/>
    </row>
    <row r="55">
      <c r="A55" s="9" t="n"/>
      <c r="B55" s="54" t="n"/>
      <c r="E55" s="9" t="n"/>
    </row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2046.289289584873</v>
      </c>
      <c r="C3" s="40" t="n">
        <v>2081.605055754988</v>
      </c>
      <c r="D3" s="51" t="n">
        <v>2082.781132257486</v>
      </c>
      <c r="E3" s="40">
        <f>(C3-B3)+C3</f>
        <v/>
      </c>
      <c r="F3" s="41">
        <f>(C3-D3)/C3</f>
        <v/>
      </c>
      <c r="G3" s="44" t="n">
        <v>157373</v>
      </c>
      <c r="H3" s="43" t="n">
        <v>160165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72125</v>
      </c>
      <c r="N3" s="21" t="n">
        <v>73266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85248</v>
      </c>
      <c r="T3" s="43" t="n">
        <v>86899</v>
      </c>
      <c r="U3" s="16">
        <f>M3-S3</f>
        <v/>
      </c>
      <c r="V3" s="17" t="n">
        <v>36</v>
      </c>
      <c r="W3" s="19">
        <f>T3+U3+V3</f>
        <v/>
      </c>
      <c r="AC3" s="42" t="n">
        <v>157299</v>
      </c>
      <c r="AD3" s="43" t="n">
        <v>160091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86466.26000557582</v>
      </c>
      <c r="C4" s="40" t="n">
        <v>89737.58998390286</v>
      </c>
      <c r="D4" s="51" t="n">
        <v>88888.47187375699</v>
      </c>
      <c r="E4" s="40">
        <f>(C4-B4)+C4</f>
        <v/>
      </c>
      <c r="F4" s="41">
        <f>(C4-D4)/C4</f>
        <v/>
      </c>
      <c r="G4" s="44" t="n">
        <v>172482</v>
      </c>
      <c r="H4" s="43" t="n">
        <v>174835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164885</v>
      </c>
      <c r="N4" s="21" t="n">
        <v>167100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7597</v>
      </c>
      <c r="T4" s="43" t="n">
        <v>7735</v>
      </c>
      <c r="U4" s="16">
        <f>M4-S4</f>
        <v/>
      </c>
      <c r="V4" s="17" t="n">
        <v>6</v>
      </c>
      <c r="W4" s="19">
        <f>T4+U4+V4</f>
        <v/>
      </c>
      <c r="AC4" s="42" t="n">
        <v>172119</v>
      </c>
      <c r="AD4" s="43" t="n">
        <v>174471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2732.36563927825</v>
      </c>
      <c r="C5" s="40" t="n">
        <v>2777.807874064326</v>
      </c>
      <c r="D5" s="51" t="n">
        <v>2780.285729877893</v>
      </c>
      <c r="E5" s="40">
        <f>(C5-B5)+C5</f>
        <v/>
      </c>
      <c r="F5" s="41">
        <f>(C5-D5)/C5</f>
        <v/>
      </c>
      <c r="G5" s="44" t="n">
        <v>319888</v>
      </c>
      <c r="H5" s="43" t="n">
        <v>324034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96685</v>
      </c>
      <c r="N5" s="21" t="n">
        <v>98046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223203</v>
      </c>
      <c r="T5" s="43" t="n">
        <v>225988</v>
      </c>
      <c r="U5" s="16">
        <f>M5-S5</f>
        <v/>
      </c>
      <c r="V5" s="17" t="n">
        <v>38</v>
      </c>
      <c r="W5" s="19">
        <f>T5+U5+V5</f>
        <v/>
      </c>
      <c r="AC5" s="42" t="n">
        <v>319771</v>
      </c>
      <c r="AD5" s="43" t="n">
        <v>323917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433.518514100043</v>
      </c>
      <c r="C6" s="40" t="n">
        <v>442.4334642768769</v>
      </c>
      <c r="D6" s="51" t="n">
        <v>442.2569846054316</v>
      </c>
      <c r="E6" s="40">
        <f>(C6-B6)+C6</f>
        <v/>
      </c>
      <c r="F6" s="41">
        <f>(C6-D6)/C6</f>
        <v/>
      </c>
      <c r="G6" s="25" t="n">
        <v>52714</v>
      </c>
      <c r="H6" s="21" t="n">
        <v>53473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20348</v>
      </c>
      <c r="N6" s="21" t="n">
        <v>20657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32366</v>
      </c>
      <c r="T6" s="43" t="n">
        <v>32816</v>
      </c>
      <c r="U6" s="16">
        <f>M6-S6</f>
        <v/>
      </c>
      <c r="V6" s="17" t="n">
        <v>4</v>
      </c>
      <c r="W6" s="19">
        <f>T6+U6+V6</f>
        <v/>
      </c>
      <c r="AC6" s="25" t="n">
        <v>52697</v>
      </c>
      <c r="AD6" s="21" t="n">
        <v>53456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13583.77171128035</v>
      </c>
      <c r="C7" s="40" t="n">
        <v>13824.0019813928</v>
      </c>
      <c r="D7" s="51" t="n">
        <v>13832.60429889189</v>
      </c>
      <c r="E7" s="40">
        <f>(C7-B7)+C7</f>
        <v/>
      </c>
      <c r="F7" s="41">
        <f>(C7-D7)/C7</f>
        <v/>
      </c>
      <c r="G7" s="44" t="n">
        <v>735498</v>
      </c>
      <c r="H7" s="43" t="n">
        <v>748895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385671</v>
      </c>
      <c r="N7" s="21" t="n">
        <v>392749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349827</v>
      </c>
      <c r="T7" s="43" t="n">
        <v>356146</v>
      </c>
      <c r="U7" s="16">
        <f>M7-S7</f>
        <v/>
      </c>
      <c r="V7" s="17" t="n">
        <v>96</v>
      </c>
      <c r="W7" s="19">
        <f>T7+U7+V7</f>
        <v/>
      </c>
      <c r="AC7" s="42" t="n">
        <v>735051</v>
      </c>
      <c r="AD7" s="43" t="n">
        <v>748448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1603.891350404861</v>
      </c>
      <c r="C8" s="40" t="n">
        <v>1629.840929604599</v>
      </c>
      <c r="D8" s="51" t="n">
        <v>1632.010566659067</v>
      </c>
      <c r="E8" s="40">
        <f>(C8-B8)+C8</f>
        <v/>
      </c>
      <c r="F8" s="41">
        <f>(C8-D8)/C8</f>
        <v/>
      </c>
      <c r="G8" s="44" t="n">
        <v>128956</v>
      </c>
      <c r="H8" s="43" t="n">
        <v>130560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52969</v>
      </c>
      <c r="N8" s="21" t="n">
        <v>53608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75987</v>
      </c>
      <c r="T8" s="43" t="n">
        <v>76952</v>
      </c>
      <c r="U8" s="16">
        <f>M8-S8</f>
        <v/>
      </c>
      <c r="V8" s="17" t="n">
        <v>23</v>
      </c>
      <c r="W8" s="19">
        <f>T8+U8+V8</f>
        <v/>
      </c>
      <c r="AC8" s="42" t="n">
        <v>128890</v>
      </c>
      <c r="AD8" s="43" t="n">
        <v>130494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2582.893078502949</v>
      </c>
      <c r="C9" s="40" t="n">
        <v>2597.94535972947</v>
      </c>
      <c r="D9" s="51" t="n">
        <v>2596.869361258206</v>
      </c>
      <c r="E9" s="40">
        <f>(C9-B9)+C9</f>
        <v/>
      </c>
      <c r="F9" s="41">
        <f>(C9-D9)/C9</f>
        <v/>
      </c>
      <c r="G9" s="44" t="n">
        <v>88219</v>
      </c>
      <c r="H9" s="43" t="n">
        <v>89432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39523</v>
      </c>
      <c r="N9" s="21" t="n">
        <v>40038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48696</v>
      </c>
      <c r="T9" s="43" t="n">
        <v>49394</v>
      </c>
      <c r="U9" s="16">
        <f>M9-S9</f>
        <v/>
      </c>
      <c r="V9" s="17" t="n">
        <v>27</v>
      </c>
      <c r="W9" s="19">
        <f>T9+U9+V9</f>
        <v/>
      </c>
      <c r="AC9" s="42" t="n">
        <v>88181</v>
      </c>
      <c r="AD9" s="43" t="n">
        <v>89394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2730.528224068223</v>
      </c>
      <c r="C10" s="40" t="n">
        <v>2768.767757785266</v>
      </c>
      <c r="D10" s="51" t="n">
        <v>2783.635336586806</v>
      </c>
      <c r="E10" s="40">
        <f>(C10-B10)+C10</f>
        <v/>
      </c>
      <c r="F10" s="41">
        <f>(C10-D10)/C10</f>
        <v/>
      </c>
      <c r="G10" s="44" t="n">
        <v>217413</v>
      </c>
      <c r="H10" s="43" t="n">
        <v>219578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36919</v>
      </c>
      <c r="N10" s="21" t="n">
        <v>37565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180494</v>
      </c>
      <c r="T10" s="43" t="n">
        <v>182013</v>
      </c>
      <c r="U10" s="16">
        <f>M10-S10</f>
        <v/>
      </c>
      <c r="V10" s="17" t="n">
        <v>44</v>
      </c>
      <c r="W10" s="19">
        <f>T10+U10+V10</f>
        <v/>
      </c>
      <c r="AC10" s="42" t="n">
        <v>217390</v>
      </c>
      <c r="AD10" s="43" t="n">
        <v>219555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1536.535449235881</v>
      </c>
      <c r="C11" s="40" t="n">
        <v>1568.375568333451</v>
      </c>
      <c r="D11" s="51" t="n">
        <v>1568.906654561617</v>
      </c>
      <c r="E11" s="40">
        <f>(C11-B11)+C11</f>
        <v/>
      </c>
      <c r="F11" s="41">
        <f>(C11-D11)/C11</f>
        <v/>
      </c>
      <c r="G11" s="44" t="n">
        <v>186946</v>
      </c>
      <c r="H11" s="43" t="n">
        <v>190312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68659</v>
      </c>
      <c r="N11" s="21" t="n">
        <v>70008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118287</v>
      </c>
      <c r="T11" s="43" t="n">
        <v>120304</v>
      </c>
      <c r="U11" s="16">
        <f>M11-S11</f>
        <v/>
      </c>
      <c r="V11" s="17" t="n">
        <v>53</v>
      </c>
      <c r="W11" s="19">
        <f>T11+U11+V11</f>
        <v/>
      </c>
      <c r="AC11" s="42" t="n">
        <v>186871</v>
      </c>
      <c r="AD11" s="43" t="n">
        <v>190237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2803.981616119861</v>
      </c>
      <c r="C12" s="40" t="n">
        <v>2861.010969019974</v>
      </c>
      <c r="D12" s="51" t="n">
        <v>2869.70204099046</v>
      </c>
      <c r="E12" s="40">
        <f>(C12-B12)+C12</f>
        <v/>
      </c>
      <c r="F12" s="41">
        <f>(C12-D12)/C12</f>
        <v/>
      </c>
      <c r="G12" s="44" t="n">
        <v>280484</v>
      </c>
      <c r="H12" s="43" t="n">
        <v>287024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111782</v>
      </c>
      <c r="N12" s="21" t="n">
        <v>113575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168702</v>
      </c>
      <c r="T12" s="43" t="n">
        <v>173449</v>
      </c>
      <c r="U12" s="16">
        <f>M12-S12</f>
        <v/>
      </c>
      <c r="V12" s="17" t="n">
        <v>64</v>
      </c>
      <c r="W12" s="19">
        <f>T12+U12+V12</f>
        <v/>
      </c>
      <c r="AC12" s="42" t="n">
        <v>280342</v>
      </c>
      <c r="AD12" s="43" t="n">
        <v>286882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802.5949057202632</v>
      </c>
      <c r="C13" s="40" t="n">
        <v>820.1156500088863</v>
      </c>
      <c r="D13" s="51" t="n">
        <v>819.1211489331437</v>
      </c>
      <c r="E13" s="40">
        <f>(C13-B13)+C13</f>
        <v/>
      </c>
      <c r="F13" s="41">
        <f>(C13-D13)/C13</f>
        <v/>
      </c>
      <c r="G13" s="44" t="n">
        <v>72185</v>
      </c>
      <c r="H13" s="43" t="n">
        <v>73573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20129</v>
      </c>
      <c r="N13" s="21" t="n">
        <v>20544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52056</v>
      </c>
      <c r="T13" s="43" t="n">
        <v>53029</v>
      </c>
      <c r="U13" s="16">
        <f>M13-S13</f>
        <v/>
      </c>
      <c r="V13" s="17" t="n">
        <v>36</v>
      </c>
      <c r="W13" s="19">
        <f>T13+U13+V13</f>
        <v/>
      </c>
      <c r="AC13" s="42" t="n">
        <v>72149</v>
      </c>
      <c r="AD13" s="43" t="n">
        <v>73538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3485.169542201868</v>
      </c>
      <c r="C14" s="40" t="n">
        <v>3550.424741025967</v>
      </c>
      <c r="D14" s="51" t="n">
        <v>3548.091140942728</v>
      </c>
      <c r="E14" s="40">
        <f>(C14-B14)+C14</f>
        <v/>
      </c>
      <c r="F14" s="41">
        <f>(C14-D14)/C14</f>
        <v/>
      </c>
      <c r="G14" s="44" t="n">
        <v>237595</v>
      </c>
      <c r="H14" s="43" t="n">
        <v>244888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84574</v>
      </c>
      <c r="N14" s="21" t="n">
        <v>85985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153021</v>
      </c>
      <c r="T14" s="43" t="n">
        <v>158903</v>
      </c>
      <c r="U14" s="16">
        <f>M14-S14</f>
        <v/>
      </c>
      <c r="V14" s="17" t="n">
        <v>50</v>
      </c>
      <c r="W14" s="19">
        <f>T14+U14+V14</f>
        <v/>
      </c>
      <c r="AC14" s="42" t="n">
        <v>237488</v>
      </c>
      <c r="AD14" s="43" t="n">
        <v>244781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2681.764500605178</v>
      </c>
      <c r="C15" s="40" t="n">
        <v>2731.999167266542</v>
      </c>
      <c r="D15" s="51" t="n">
        <v>2734.947946602652</v>
      </c>
      <c r="E15" s="40">
        <f>(C15-B15)+C15</f>
        <v/>
      </c>
      <c r="F15" s="41">
        <f>(C15-D15)/C15</f>
        <v/>
      </c>
      <c r="G15" s="44" t="n">
        <v>234362</v>
      </c>
      <c r="H15" s="43" t="n">
        <v>237796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79366</v>
      </c>
      <c r="N15" s="21" t="n">
        <v>80557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154996</v>
      </c>
      <c r="T15" s="43" t="n">
        <v>157239</v>
      </c>
      <c r="U15" s="16">
        <f>M15-S15</f>
        <v/>
      </c>
      <c r="V15" s="17" t="n">
        <v>53</v>
      </c>
      <c r="W15" s="19">
        <f>T15+U15+V15</f>
        <v/>
      </c>
      <c r="AC15" s="42" t="n">
        <v>234247</v>
      </c>
      <c r="AD15" s="43" t="n">
        <v>237681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471.3471538613732</v>
      </c>
      <c r="C16" s="40" t="n">
        <v>482.2354303418618</v>
      </c>
      <c r="D16" s="51" t="n">
        <v>481.0965208936865</v>
      </c>
      <c r="E16" s="40">
        <f>(C16-B16)+C16</f>
        <v/>
      </c>
      <c r="F16" s="41">
        <f>(C16-D16)/C16</f>
        <v/>
      </c>
      <c r="G16" s="44" t="n">
        <v>67377</v>
      </c>
      <c r="H16" s="43" t="n">
        <v>68577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18947</v>
      </c>
      <c r="N16" s="21" t="n">
        <v>19286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48430</v>
      </c>
      <c r="T16" s="43" t="n">
        <v>49291</v>
      </c>
      <c r="U16" s="16">
        <f>M16-S16</f>
        <v/>
      </c>
      <c r="V16" s="17" t="n">
        <v>11</v>
      </c>
      <c r="W16" s="19">
        <f>T16+U16+V16</f>
        <v/>
      </c>
      <c r="AC16" s="42" t="n">
        <v>67357</v>
      </c>
      <c r="AD16" s="43" t="n">
        <v>68557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4459.047971797822</v>
      </c>
      <c r="C17" s="40" t="n">
        <v>4543.252810344728</v>
      </c>
      <c r="D17" s="51" t="n">
        <v>4538.313500361488</v>
      </c>
      <c r="E17" s="40">
        <f>(C17-B17)+C17</f>
        <v/>
      </c>
      <c r="F17" s="41">
        <f>(C17-D17)/C17</f>
        <v/>
      </c>
      <c r="G17" s="44" t="n">
        <v>289018</v>
      </c>
      <c r="H17" s="43" t="n">
        <v>293581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143064</v>
      </c>
      <c r="N17" s="21" t="n">
        <v>145224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145954</v>
      </c>
      <c r="T17" s="43" t="n">
        <v>148357</v>
      </c>
      <c r="U17" s="16">
        <f>M17-S17</f>
        <v/>
      </c>
      <c r="V17" s="17" t="n">
        <v>147</v>
      </c>
      <c r="W17" s="19">
        <f>T17+U17+V17</f>
        <v/>
      </c>
      <c r="AC17" s="42" t="n">
        <v>288879</v>
      </c>
      <c r="AD17" s="43" t="n">
        <v>293442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1499.935827504141</v>
      </c>
      <c r="C18" s="40" t="n">
        <v>1523.066825485396</v>
      </c>
      <c r="D18" s="51" t="n">
        <v>1522.175040004678</v>
      </c>
      <c r="E18" s="40">
        <f>(C18-B18)+C18</f>
        <v/>
      </c>
      <c r="F18" s="41">
        <f>(C18-D18)/C18</f>
        <v/>
      </c>
      <c r="G18" s="44" t="n">
        <v>275018</v>
      </c>
      <c r="H18" s="43" t="n">
        <v>276834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35101</v>
      </c>
      <c r="N18" s="21" t="n">
        <v>35678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239917</v>
      </c>
      <c r="T18" s="43" t="n">
        <v>241156</v>
      </c>
      <c r="U18" s="16">
        <f>M18-S18</f>
        <v/>
      </c>
      <c r="V18" s="17" t="n">
        <v>28</v>
      </c>
      <c r="W18" s="19">
        <f>T18+U18+V18</f>
        <v/>
      </c>
      <c r="AC18" s="42" t="n">
        <v>274912</v>
      </c>
      <c r="AD18" s="43" t="n">
        <v>276728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1494.632503800452</v>
      </c>
      <c r="C19" s="40" t="n">
        <v>1519.971319006146</v>
      </c>
      <c r="D19" s="51" t="n">
        <v>1518.230803914136</v>
      </c>
      <c r="E19" s="40">
        <f>(C19-B19)+C19</f>
        <v/>
      </c>
      <c r="F19" s="41">
        <f>(C19-D19)/C19</f>
        <v/>
      </c>
      <c r="G19" s="44" t="n">
        <v>116169</v>
      </c>
      <c r="H19" s="43" t="n">
        <v>117916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40258</v>
      </c>
      <c r="N19" s="21" t="n">
        <v>40921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75911</v>
      </c>
      <c r="T19" s="43" t="n">
        <v>76995</v>
      </c>
      <c r="U19" s="16">
        <f>M19-S19</f>
        <v/>
      </c>
      <c r="V19" s="17" t="n">
        <v>60</v>
      </c>
      <c r="W19" s="19">
        <f>T19+U19+V19</f>
        <v/>
      </c>
      <c r="AC19" s="42" t="n">
        <v>116095</v>
      </c>
      <c r="AD19" s="43" t="n">
        <v>117842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580.7107299748401</v>
      </c>
      <c r="C20" s="40" t="n">
        <v>592.2151333029238</v>
      </c>
      <c r="D20" s="51" t="n">
        <v>593.420054055959</v>
      </c>
      <c r="E20" s="40">
        <f>(C20-B20)+C20</f>
        <v/>
      </c>
      <c r="F20" s="41">
        <f>(C20-D20)/C20</f>
        <v/>
      </c>
      <c r="G20" s="44" t="n">
        <v>71352</v>
      </c>
      <c r="H20" s="43" t="n">
        <v>72394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21080</v>
      </c>
      <c r="N20" s="21" t="n">
        <v>21404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50272</v>
      </c>
      <c r="T20" s="43" t="n">
        <v>50990</v>
      </c>
      <c r="U20" s="16">
        <f>M20-S20</f>
        <v/>
      </c>
      <c r="V20" s="17" t="n">
        <v>24</v>
      </c>
      <c r="W20" s="19">
        <f>T20+U20+V20</f>
        <v/>
      </c>
      <c r="AC20" s="42" t="n">
        <v>71300</v>
      </c>
      <c r="AD20" s="43" t="n">
        <v>72342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206.3988207635172</v>
      </c>
      <c r="C21" s="40" t="n">
        <v>210.6125855918686</v>
      </c>
      <c r="D21" s="51" t="n">
        <v>210.3438818241916</v>
      </c>
      <c r="E21" s="40">
        <f>(C21-B21)+C21</f>
        <v/>
      </c>
      <c r="F21" s="41">
        <f>(C21-D21)/C21</f>
        <v/>
      </c>
      <c r="G21" s="25" t="n">
        <v>21074</v>
      </c>
      <c r="H21" s="21" t="n">
        <v>21405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8690</v>
      </c>
      <c r="N21" s="21" t="n">
        <v>8826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12384</v>
      </c>
      <c r="T21" s="43" t="n">
        <v>12579</v>
      </c>
      <c r="U21" s="16">
        <f>M21-S21</f>
        <v/>
      </c>
      <c r="V21" s="17" t="n">
        <v>25</v>
      </c>
      <c r="W21" s="19">
        <f>T21+U21+V21</f>
        <v/>
      </c>
      <c r="AC21" s="25" t="n">
        <v>21061</v>
      </c>
      <c r="AD21" s="21" t="n">
        <v>21392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111.021593036206</v>
      </c>
      <c r="C22" s="40" t="n">
        <v>113.3463411939548</v>
      </c>
      <c r="D22" s="51" t="n">
        <v>113.355555495886</v>
      </c>
      <c r="E22" s="40">
        <f>(C22-B22)+C22</f>
        <v/>
      </c>
      <c r="F22" s="41">
        <f>(C22-D22)/C22</f>
        <v/>
      </c>
      <c r="G22" s="44" t="n">
        <v>10227</v>
      </c>
      <c r="H22" s="43" t="n">
        <v>10405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3903</v>
      </c>
      <c r="N22" s="21" t="n">
        <v>3966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6324</v>
      </c>
      <c r="T22" s="43" t="n">
        <v>6439</v>
      </c>
      <c r="U22" s="16">
        <f>M22-S22</f>
        <v/>
      </c>
      <c r="V22" s="17" t="n">
        <v>6</v>
      </c>
      <c r="W22" s="19">
        <f>T22+U22+V22</f>
        <v/>
      </c>
      <c r="AC22" s="42" t="n">
        <v>10210</v>
      </c>
      <c r="AD22" s="43" t="n">
        <v>10388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3251.758951454959</v>
      </c>
      <c r="C23" s="40" t="n">
        <v>3321.358882090864</v>
      </c>
      <c r="D23" s="51" t="n">
        <v>3317.653535533729</v>
      </c>
      <c r="E23" s="40">
        <f>(C23-B23)+C23</f>
        <v/>
      </c>
      <c r="F23" s="41">
        <f>(C23-D23)/C23</f>
        <v/>
      </c>
      <c r="G23" s="44" t="n">
        <v>376111</v>
      </c>
      <c r="H23" s="43" t="n">
        <v>381272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153803</v>
      </c>
      <c r="N23" s="21" t="n">
        <v>156209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222308</v>
      </c>
      <c r="T23" s="43" t="n">
        <v>225063</v>
      </c>
      <c r="U23" s="16">
        <f>M23-S23</f>
        <v/>
      </c>
      <c r="V23" s="17" t="n">
        <v>55</v>
      </c>
      <c r="W23" s="19">
        <f>T23+U23+V23</f>
        <v/>
      </c>
      <c r="AC23" s="42" t="n">
        <v>376000</v>
      </c>
      <c r="AD23" s="43" t="n">
        <v>381161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785.4862844498323</v>
      </c>
      <c r="C24" s="40" t="n">
        <v>800.7746526336854</v>
      </c>
      <c r="D24" s="51" t="n">
        <v>801.2418471982008</v>
      </c>
      <c r="E24" s="40">
        <f>(C24-B24)+C24</f>
        <v/>
      </c>
      <c r="F24" s="41">
        <f>(C24-D24)/C24</f>
        <v/>
      </c>
      <c r="G24" s="44" t="n">
        <v>90609</v>
      </c>
      <c r="H24" s="43" t="n">
        <v>91999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35147</v>
      </c>
      <c r="N24" s="21" t="n">
        <v>35640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55462</v>
      </c>
      <c r="T24" s="43" t="n">
        <v>56359</v>
      </c>
      <c r="U24" s="16">
        <f>M24-S24</f>
        <v/>
      </c>
      <c r="V24" s="17" t="n">
        <v>19</v>
      </c>
      <c r="W24" s="19">
        <f>T24+U24+V24</f>
        <v/>
      </c>
      <c r="AC24" s="42" t="n">
        <v>90570</v>
      </c>
      <c r="AD24" s="43" t="n">
        <v>91959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1009.225790322931</v>
      </c>
      <c r="C25" s="40" t="n">
        <v>1028.444680362373</v>
      </c>
      <c r="D25" s="51" t="n">
        <v>1029.386491519631</v>
      </c>
      <c r="E25" s="40">
        <f>(C25-B25)+C25</f>
        <v/>
      </c>
      <c r="F25" s="41">
        <f>(C25-D25)/C25</f>
        <v/>
      </c>
      <c r="G25" s="44" t="n">
        <v>140881</v>
      </c>
      <c r="H25" s="43" t="n">
        <v>142241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37071</v>
      </c>
      <c r="N25" s="21" t="n">
        <v>37646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103810</v>
      </c>
      <c r="T25" s="43" t="n">
        <v>104595</v>
      </c>
      <c r="U25" s="16">
        <f>M25-S25</f>
        <v/>
      </c>
      <c r="V25" s="17" t="n">
        <v>20</v>
      </c>
      <c r="W25" s="19">
        <f>T25+U25+V25</f>
        <v/>
      </c>
      <c r="AC25" s="42" t="n">
        <v>140847</v>
      </c>
      <c r="AD25" s="43" t="n">
        <v>142207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8384.649086292953</v>
      </c>
      <c r="C26" s="40" t="n">
        <v>8548.292469293412</v>
      </c>
      <c r="D26" s="51" t="n">
        <v>8556.970066354444</v>
      </c>
      <c r="E26" s="40">
        <f>(C26-B26)+C26</f>
        <v/>
      </c>
      <c r="F26" s="41">
        <f>(C26-D26)/C26</f>
        <v/>
      </c>
      <c r="G26" s="44" t="n">
        <v>154186</v>
      </c>
      <c r="H26" s="43" t="n">
        <v>156345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141658</v>
      </c>
      <c r="N26" s="21" t="n">
        <v>143625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12528</v>
      </c>
      <c r="T26" s="43" t="n">
        <v>12720</v>
      </c>
      <c r="U26" s="16">
        <f>M26-S26</f>
        <v/>
      </c>
      <c r="V26" s="17" t="n">
        <v>9</v>
      </c>
      <c r="W26" s="19">
        <f>T26+U26+V26</f>
        <v/>
      </c>
      <c r="AC26" s="42" t="n">
        <v>154013</v>
      </c>
      <c r="AD26" s="43" t="n">
        <v>156171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4137.602811562801</v>
      </c>
      <c r="C27" s="40" t="n">
        <v>4203.045026412668</v>
      </c>
      <c r="D27" s="51" t="n">
        <v>4206.982250685159</v>
      </c>
      <c r="E27" s="40">
        <f>(C27-B27)+C27</f>
        <v/>
      </c>
      <c r="F27" s="41">
        <f>(C27-D27)/C27</f>
        <v/>
      </c>
      <c r="G27" s="44" t="n">
        <v>260752</v>
      </c>
      <c r="H27" s="43" t="n">
        <v>264529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133277</v>
      </c>
      <c r="N27" s="21" t="n">
        <v>135379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127475</v>
      </c>
      <c r="T27" s="43" t="n">
        <v>129150</v>
      </c>
      <c r="U27" s="16">
        <f>M27-S27</f>
        <v/>
      </c>
      <c r="V27" s="17" t="n">
        <v>60</v>
      </c>
      <c r="W27" s="19">
        <f>T27+U27+V27</f>
        <v/>
      </c>
      <c r="AC27" s="42" t="n">
        <v>260593</v>
      </c>
      <c r="AD27" s="43" t="n">
        <v>264371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1373.520120867096</v>
      </c>
      <c r="C28" s="40" t="n">
        <v>1390.76215330416</v>
      </c>
      <c r="D28" s="51" t="n">
        <v>1391.486184223549</v>
      </c>
      <c r="E28" s="40">
        <f>(C28-B28)+C28</f>
        <v/>
      </c>
      <c r="F28" s="41">
        <f>(C28-D28)/C28</f>
        <v/>
      </c>
      <c r="G28" s="44" t="n">
        <v>41214</v>
      </c>
      <c r="H28" s="43" t="n">
        <v>41928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25011</v>
      </c>
      <c r="N28" s="21" t="n">
        <v>25416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16203</v>
      </c>
      <c r="T28" s="43" t="n">
        <v>16512</v>
      </c>
      <c r="U28" s="16">
        <f>M28-S28</f>
        <v/>
      </c>
      <c r="V28" s="17" t="n">
        <v>6</v>
      </c>
      <c r="W28" s="19">
        <f>T28+U28+V28</f>
        <v/>
      </c>
      <c r="AC28" s="42" t="n">
        <v>41183</v>
      </c>
      <c r="AD28" s="43" t="n">
        <v>41897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42.51485767040694</v>
      </c>
      <c r="C29" s="40" t="n">
        <v>43.54585102680907</v>
      </c>
      <c r="D29" s="51" t="n">
        <v>43.47888336963234</v>
      </c>
      <c r="E29" s="40">
        <f>(C29-B29)+C29</f>
        <v/>
      </c>
      <c r="F29" s="41">
        <f>(C29-D29)/C29</f>
        <v/>
      </c>
      <c r="G29" s="44" t="n">
        <v>3104</v>
      </c>
      <c r="H29" s="43" t="n">
        <v>3173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1185</v>
      </c>
      <c r="N29" s="21" t="n">
        <v>1202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1919</v>
      </c>
      <c r="T29" s="43" t="n">
        <v>1971</v>
      </c>
      <c r="U29" s="16">
        <f>M29-S29</f>
        <v/>
      </c>
      <c r="V29" s="17" t="n">
        <v>1</v>
      </c>
      <c r="W29" s="19">
        <f>T29+U29+V29</f>
        <v/>
      </c>
      <c r="AC29" s="42" t="n">
        <v>3098</v>
      </c>
      <c r="AD29" s="43" t="n">
        <v>3167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780.3998752105246</v>
      </c>
      <c r="C30" s="40" t="n">
        <v>794.9085897188691</v>
      </c>
      <c r="D30" s="51" t="n">
        <v>796.3261240020206</v>
      </c>
      <c r="E30" s="40">
        <f>(C30-B30)+C30</f>
        <v/>
      </c>
      <c r="F30" s="41">
        <f>(C30-D30)/C30</f>
        <v/>
      </c>
      <c r="G30" s="44" t="n">
        <v>77055</v>
      </c>
      <c r="H30" s="43" t="n">
        <v>78351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19686</v>
      </c>
      <c r="N30" s="21" t="n">
        <v>20017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57369</v>
      </c>
      <c r="T30" s="43" t="n">
        <v>58334</v>
      </c>
      <c r="U30" s="16">
        <f>M30-S30</f>
        <v/>
      </c>
      <c r="V30" s="17" t="n">
        <v>29</v>
      </c>
      <c r="W30" s="19">
        <f>T30+U30+V30</f>
        <v/>
      </c>
      <c r="AC30" s="42" t="n">
        <v>77022</v>
      </c>
      <c r="AD30" s="43" t="n">
        <v>78318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1578.210253275638</v>
      </c>
      <c r="C31" s="40" t="n">
        <v>1604.46092880025</v>
      </c>
      <c r="D31" s="51" t="n">
        <v>1608.374286202216</v>
      </c>
      <c r="E31" s="40">
        <f>(C31-B31)+C31</f>
        <v/>
      </c>
      <c r="F31" s="41">
        <f>(C31-D31)/C31</f>
        <v/>
      </c>
      <c r="G31" s="44" t="n">
        <v>153363</v>
      </c>
      <c r="H31" s="43" t="n">
        <v>155857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53408</v>
      </c>
      <c r="N31" s="21" t="n">
        <v>54159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99955</v>
      </c>
      <c r="T31" s="43" t="n">
        <v>101698</v>
      </c>
      <c r="U31" s="16">
        <f>M31-S31</f>
        <v/>
      </c>
      <c r="V31" s="17" t="n">
        <v>45</v>
      </c>
      <c r="W31" s="19">
        <f>T31+U31+V31</f>
        <v/>
      </c>
      <c r="AC31" s="42" t="n">
        <v>153290</v>
      </c>
      <c r="AD31" s="43" t="n">
        <v>155784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8015.232253648747</v>
      </c>
      <c r="C32" s="40" t="n">
        <v>8132.75755965462</v>
      </c>
      <c r="D32" s="51" t="n">
        <v>8131.309907096136</v>
      </c>
      <c r="E32" s="40">
        <f>(C32-B32)+C32</f>
        <v/>
      </c>
      <c r="F32" s="41">
        <f>(C32-D32)/C32</f>
        <v/>
      </c>
      <c r="G32" s="44" t="n">
        <v>309057</v>
      </c>
      <c r="H32" s="43" t="n">
        <v>315366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160541</v>
      </c>
      <c r="N32" s="21" t="n">
        <v>163857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148516</v>
      </c>
      <c r="T32" s="43" t="n">
        <v>151509</v>
      </c>
      <c r="U32" s="16">
        <f>M32-S32</f>
        <v/>
      </c>
      <c r="V32" s="17" t="n">
        <v>56</v>
      </c>
      <c r="W32" s="19">
        <f>T32+U32+V32</f>
        <v/>
      </c>
      <c r="AC32" s="42" t="n">
        <v>308899</v>
      </c>
      <c r="AD32" s="43" t="n">
        <v>315208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1957.301611384108</v>
      </c>
      <c r="C33" s="40" t="n">
        <v>1988.449780995626</v>
      </c>
      <c r="D33" s="51" t="n">
        <v>1991.097188212752</v>
      </c>
      <c r="E33" s="40">
        <f>(C33-B33)+C33</f>
        <v/>
      </c>
      <c r="F33" s="41">
        <f>(C33-D33)/C33</f>
        <v/>
      </c>
      <c r="G33" s="44" t="n">
        <v>94270</v>
      </c>
      <c r="H33" s="43" t="n">
        <v>95893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52069</v>
      </c>
      <c r="N33" s="21" t="n">
        <v>52896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42201</v>
      </c>
      <c r="T33" s="43" t="n">
        <v>42997</v>
      </c>
      <c r="U33" s="16">
        <f>M33-S33</f>
        <v/>
      </c>
      <c r="V33" s="17" t="n">
        <v>15</v>
      </c>
      <c r="W33" s="19">
        <f>T33+U33+V33</f>
        <v/>
      </c>
      <c r="AC33" s="42" t="n">
        <v>94216</v>
      </c>
      <c r="AD33" s="43" t="n">
        <v>95839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3661047.5345147</v>
      </c>
      <c r="C34" s="28" t="n">
        <v>3883729.011431021</v>
      </c>
      <c r="D34" s="53" t="n">
        <v>3880399.269488315</v>
      </c>
      <c r="E34" s="28">
        <f>(C34-B34)+C34</f>
        <v/>
      </c>
      <c r="F34" s="30">
        <f>(C34-D34)/C34</f>
        <v/>
      </c>
      <c r="G34" s="26" t="n">
        <v>42796459</v>
      </c>
      <c r="H34" s="31" t="n">
        <v>44274694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2604037</v>
      </c>
      <c r="N34" s="33" t="n">
        <v>2645210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3534376</v>
      </c>
      <c r="T34" s="31" t="n">
        <v>3589307</v>
      </c>
      <c r="U34" s="31" t="n">
        <v>240028</v>
      </c>
      <c r="V34" s="31" t="n">
        <v>1244</v>
      </c>
      <c r="W34" s="31">
        <f>T34+U34+V34</f>
        <v/>
      </c>
      <c r="X34" s="32" t="n">
        <v>36658046</v>
      </c>
      <c r="Y34" s="34" t="n">
        <v>38040177</v>
      </c>
      <c r="Z34" s="34" t="n">
        <v>4986</v>
      </c>
      <c r="AA34" s="34" t="n">
        <v>272</v>
      </c>
      <c r="AB34" s="34">
        <f>Y34+Z34+AA34</f>
        <v/>
      </c>
      <c r="AC34" s="35" t="n">
        <v>6134770</v>
      </c>
      <c r="AD34" s="31" t="n">
        <v>6230872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35118</v>
      </c>
      <c r="E39" s="17">
        <f>D39+C39</f>
        <v/>
      </c>
    </row>
    <row r="42">
      <c r="A42" s="9" t="n"/>
      <c r="B42" s="54" t="n"/>
    </row>
    <row r="44">
      <c r="A44" s="9" t="n"/>
    </row>
    <row r="45">
      <c r="A45" s="9" t="n"/>
      <c r="B45" s="54" t="n"/>
      <c r="E45" s="9" t="n"/>
    </row>
    <row r="47">
      <c r="A47" s="9" t="n"/>
      <c r="B47" s="54" t="n"/>
      <c r="E47" s="9" t="n"/>
    </row>
    <row r="49">
      <c r="A49" s="9" t="n"/>
      <c r="B49" s="54" t="n"/>
      <c r="E49" s="9" t="n"/>
    </row>
    <row r="51">
      <c r="A51" s="9" t="n"/>
      <c r="B51" s="54" t="n"/>
      <c r="E51" s="9" t="n"/>
    </row>
    <row r="53">
      <c r="A53" s="9" t="n"/>
      <c r="B53" s="54" t="n"/>
      <c r="E53" s="9" t="n"/>
    </row>
    <row r="55">
      <c r="A55" s="9" t="n"/>
      <c r="B55" s="54" t="n"/>
      <c r="E55" s="9" t="n"/>
    </row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2081.605055754988</v>
      </c>
      <c r="C3" s="40" t="n">
        <v>2116.064320849857</v>
      </c>
      <c r="D3" s="51" t="n">
        <v>2116.920821925104</v>
      </c>
      <c r="E3" s="40">
        <f>(C3-B3)+C3</f>
        <v/>
      </c>
      <c r="F3" s="41">
        <f>(C3-D3)/C3</f>
        <v/>
      </c>
      <c r="G3" s="44" t="n">
        <v>160165</v>
      </c>
      <c r="H3" s="43" t="n">
        <v>162839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73266</v>
      </c>
      <c r="N3" s="21" t="n">
        <v>74433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86899</v>
      </c>
      <c r="T3" s="43" t="n">
        <v>88406</v>
      </c>
      <c r="U3" s="16">
        <f>M3-S3</f>
        <v/>
      </c>
      <c r="V3" s="17" t="n">
        <v>36</v>
      </c>
      <c r="W3" s="19">
        <f>T3+U3+V3</f>
        <v/>
      </c>
      <c r="AC3" s="42" t="n">
        <v>160091</v>
      </c>
      <c r="AD3" s="43" t="n">
        <v>162765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89737.58998390286</v>
      </c>
      <c r="C4" s="40" t="n">
        <v>92240.54867084228</v>
      </c>
      <c r="D4" s="51" t="n">
        <v>93008.91996222989</v>
      </c>
      <c r="E4" s="40">
        <f>(C4-B4)+C4</f>
        <v/>
      </c>
      <c r="F4" s="41">
        <f>(C4-D4)/C4</f>
        <v/>
      </c>
      <c r="G4" s="44" t="n">
        <v>174835</v>
      </c>
      <c r="H4" s="43" t="n">
        <v>176937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167100</v>
      </c>
      <c r="N4" s="21" t="n">
        <v>169082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7735</v>
      </c>
      <c r="T4" s="43" t="n">
        <v>7855</v>
      </c>
      <c r="U4" s="16">
        <f>M4-S4</f>
        <v/>
      </c>
      <c r="V4" s="17" t="n">
        <v>6</v>
      </c>
      <c r="W4" s="19">
        <f>T4+U4+V4</f>
        <v/>
      </c>
      <c r="AC4" s="42" t="n">
        <v>174471</v>
      </c>
      <c r="AD4" s="43" t="n">
        <v>176572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2777.807874064326</v>
      </c>
      <c r="C5" s="40" t="n">
        <v>2826.671207336373</v>
      </c>
      <c r="D5" s="51" t="n">
        <v>2823.250108850402</v>
      </c>
      <c r="E5" s="40">
        <f>(C5-B5)+C5</f>
        <v/>
      </c>
      <c r="F5" s="41">
        <f>(C5-D5)/C5</f>
        <v/>
      </c>
      <c r="G5" s="44" t="n">
        <v>324034</v>
      </c>
      <c r="H5" s="43" t="n">
        <v>328180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98046</v>
      </c>
      <c r="N5" s="21" t="n">
        <v>99235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225988</v>
      </c>
      <c r="T5" s="43" t="n">
        <v>228945</v>
      </c>
      <c r="U5" s="16">
        <f>M5-S5</f>
        <v/>
      </c>
      <c r="V5" s="17" t="n">
        <v>38</v>
      </c>
      <c r="W5" s="19">
        <f>T5+U5+V5</f>
        <v/>
      </c>
      <c r="AC5" s="42" t="n">
        <v>323917</v>
      </c>
      <c r="AD5" s="43" t="n">
        <v>328063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442.4334642768769</v>
      </c>
      <c r="C6" s="40" t="n">
        <v>451.4965653133163</v>
      </c>
      <c r="D6" s="51" t="n">
        <v>451.3484144537107</v>
      </c>
      <c r="E6" s="40">
        <f>(C6-B6)+C6</f>
        <v/>
      </c>
      <c r="F6" s="41">
        <f>(C6-D6)/C6</f>
        <v/>
      </c>
      <c r="G6" s="25" t="n">
        <v>53473</v>
      </c>
      <c r="H6" s="21" t="n">
        <v>54242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20657</v>
      </c>
      <c r="N6" s="21" t="n">
        <v>20960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32816</v>
      </c>
      <c r="T6" s="43" t="n">
        <v>33282</v>
      </c>
      <c r="U6" s="16">
        <f>M6-S6</f>
        <v/>
      </c>
      <c r="V6" s="17" t="n">
        <v>4</v>
      </c>
      <c r="W6" s="19">
        <f>T6+U6+V6</f>
        <v/>
      </c>
      <c r="AC6" s="25" t="n">
        <v>53456</v>
      </c>
      <c r="AD6" s="21" t="n">
        <v>54225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13824.0019813928</v>
      </c>
      <c r="C7" s="40" t="n">
        <v>14063.66394671538</v>
      </c>
      <c r="D7" s="51" t="n">
        <v>14064.23225150525</v>
      </c>
      <c r="E7" s="40">
        <f>(C7-B7)+C7</f>
        <v/>
      </c>
      <c r="F7" s="41">
        <f>(C7-D7)/C7</f>
        <v/>
      </c>
      <c r="G7" s="44" t="n">
        <v>748895</v>
      </c>
      <c r="H7" s="43" t="n">
        <v>761138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392749</v>
      </c>
      <c r="N7" s="21" t="n">
        <v>399352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356146</v>
      </c>
      <c r="T7" s="43" t="n">
        <v>361786</v>
      </c>
      <c r="U7" s="16">
        <f>M7-S7</f>
        <v/>
      </c>
      <c r="V7" s="17" t="n">
        <v>96</v>
      </c>
      <c r="W7" s="19">
        <f>T7+U7+V7</f>
        <v/>
      </c>
      <c r="AC7" s="42" t="n">
        <v>748448</v>
      </c>
      <c r="AD7" s="43" t="n">
        <v>760691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1629.840929604599</v>
      </c>
      <c r="C8" s="40" t="n">
        <v>1657.084845876519</v>
      </c>
      <c r="D8" s="51" t="n">
        <v>1655.790508804338</v>
      </c>
      <c r="E8" s="40">
        <f>(C8-B8)+C8</f>
        <v/>
      </c>
      <c r="F8" s="41">
        <f>(C8-D8)/C8</f>
        <v/>
      </c>
      <c r="G8" s="44" t="n">
        <v>130560</v>
      </c>
      <c r="H8" s="43" t="n">
        <v>132267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53608</v>
      </c>
      <c r="N8" s="21" t="n">
        <v>54289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76952</v>
      </c>
      <c r="T8" s="43" t="n">
        <v>77978</v>
      </c>
      <c r="U8" s="16">
        <f>M8-S8</f>
        <v/>
      </c>
      <c r="V8" s="17" t="n">
        <v>23</v>
      </c>
      <c r="W8" s="19">
        <f>T8+U8+V8</f>
        <v/>
      </c>
      <c r="AC8" s="42" t="n">
        <v>130494</v>
      </c>
      <c r="AD8" s="43" t="n">
        <v>132200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2597.94535972947</v>
      </c>
      <c r="C9" s="40" t="n">
        <v>2613.678291563197</v>
      </c>
      <c r="D9" s="51" t="n">
        <v>2612.99764095599</v>
      </c>
      <c r="E9" s="40">
        <f>(C9-B9)+C9</f>
        <v/>
      </c>
      <c r="F9" s="41">
        <f>(C9-D9)/C9</f>
        <v/>
      </c>
      <c r="G9" s="44" t="n">
        <v>89432</v>
      </c>
      <c r="H9" s="43" t="n">
        <v>90662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40038</v>
      </c>
      <c r="N9" s="21" t="n">
        <v>40546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49394</v>
      </c>
      <c r="T9" s="43" t="n">
        <v>50116</v>
      </c>
      <c r="U9" s="16">
        <f>M9-S9</f>
        <v/>
      </c>
      <c r="V9" s="17" t="n">
        <v>27</v>
      </c>
      <c r="W9" s="19">
        <f>T9+U9+V9</f>
        <v/>
      </c>
      <c r="AC9" s="42" t="n">
        <v>89394</v>
      </c>
      <c r="AD9" s="43" t="n">
        <v>90624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2768.767757785266</v>
      </c>
      <c r="C10" s="40" t="n">
        <v>2810.988199622034</v>
      </c>
      <c r="D10" s="51" t="n">
        <v>2807.007291502308</v>
      </c>
      <c r="E10" s="40">
        <f>(C10-B10)+C10</f>
        <v/>
      </c>
      <c r="F10" s="41">
        <f>(C10-D10)/C10</f>
        <v/>
      </c>
      <c r="G10" s="44" t="n">
        <v>219578</v>
      </c>
      <c r="H10" s="43" t="n">
        <v>221460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37565</v>
      </c>
      <c r="N10" s="21" t="n">
        <v>38144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182013</v>
      </c>
      <c r="T10" s="43" t="n">
        <v>183316</v>
      </c>
      <c r="U10" s="16">
        <f>M10-S10</f>
        <v/>
      </c>
      <c r="V10" s="17" t="n">
        <v>44</v>
      </c>
      <c r="W10" s="19">
        <f>T10+U10+V10</f>
        <v/>
      </c>
      <c r="AC10" s="42" t="n">
        <v>219555</v>
      </c>
      <c r="AD10" s="43" t="n">
        <v>221437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1568.375568333451</v>
      </c>
      <c r="C11" s="40" t="n">
        <v>1602.434408216454</v>
      </c>
      <c r="D11" s="51" t="n">
        <v>1600.215687431022</v>
      </c>
      <c r="E11" s="40">
        <f>(C11-B11)+C11</f>
        <v/>
      </c>
      <c r="F11" s="41">
        <f>(C11-D11)/C11</f>
        <v/>
      </c>
      <c r="G11" s="44" t="n">
        <v>190312</v>
      </c>
      <c r="H11" s="43" t="n">
        <v>193388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70008</v>
      </c>
      <c r="N11" s="21" t="n">
        <v>71127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120304</v>
      </c>
      <c r="T11" s="43" t="n">
        <v>122261</v>
      </c>
      <c r="U11" s="16">
        <f>M11-S11</f>
        <v/>
      </c>
      <c r="V11" s="17" t="n">
        <v>53</v>
      </c>
      <c r="W11" s="19">
        <f>T11+U11+V11</f>
        <v/>
      </c>
      <c r="AC11" s="42" t="n">
        <v>190237</v>
      </c>
      <c r="AD11" s="43" t="n">
        <v>193313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2861.010969019974</v>
      </c>
      <c r="C12" s="40" t="n">
        <v>2931.306531083284</v>
      </c>
      <c r="D12" s="51" t="n">
        <v>2918.040321920087</v>
      </c>
      <c r="E12" s="40">
        <f>(C12-B12)+C12</f>
        <v/>
      </c>
      <c r="F12" s="41">
        <f>(C12-D12)/C12</f>
        <v/>
      </c>
      <c r="G12" s="44" t="n">
        <v>287024</v>
      </c>
      <c r="H12" s="43" t="n">
        <v>292086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113575</v>
      </c>
      <c r="N12" s="21" t="n">
        <v>115201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173449</v>
      </c>
      <c r="T12" s="43" t="n">
        <v>176885</v>
      </c>
      <c r="U12" s="16">
        <f>M12-S12</f>
        <v/>
      </c>
      <c r="V12" s="17" t="n">
        <v>64</v>
      </c>
      <c r="W12" s="19">
        <f>T12+U12+V12</f>
        <v/>
      </c>
      <c r="AC12" s="42" t="n">
        <v>286882</v>
      </c>
      <c r="AD12" s="43" t="n">
        <v>291942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820.1156500088863</v>
      </c>
      <c r="C13" s="40" t="n">
        <v>837.4723826293375</v>
      </c>
      <c r="D13" s="51" t="n">
        <v>837.6363942975094</v>
      </c>
      <c r="E13" s="40">
        <f>(C13-B13)+C13</f>
        <v/>
      </c>
      <c r="F13" s="41">
        <f>(C13-D13)/C13</f>
        <v/>
      </c>
      <c r="G13" s="44" t="n">
        <v>73573</v>
      </c>
      <c r="H13" s="43" t="n">
        <v>74883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20544</v>
      </c>
      <c r="N13" s="21" t="n">
        <v>20921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53029</v>
      </c>
      <c r="T13" s="43" t="n">
        <v>53962</v>
      </c>
      <c r="U13" s="16">
        <f>M13-S13</f>
        <v/>
      </c>
      <c r="V13" s="17" t="n">
        <v>36</v>
      </c>
      <c r="W13" s="19">
        <f>T13+U13+V13</f>
        <v/>
      </c>
      <c r="AC13" s="42" t="n">
        <v>73538</v>
      </c>
      <c r="AD13" s="43" t="n">
        <v>74848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3550.424741025967</v>
      </c>
      <c r="C14" s="40" t="n">
        <v>3618.863522958806</v>
      </c>
      <c r="D14" s="51" t="n">
        <v>3615.679939850066</v>
      </c>
      <c r="E14" s="40">
        <f>(C14-B14)+C14</f>
        <v/>
      </c>
      <c r="F14" s="41">
        <f>(C14-D14)/C14</f>
        <v/>
      </c>
      <c r="G14" s="44" t="n">
        <v>244888</v>
      </c>
      <c r="H14" s="43" t="n">
        <v>250792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85985</v>
      </c>
      <c r="N14" s="21" t="n">
        <v>87609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158903</v>
      </c>
      <c r="T14" s="43" t="n">
        <v>163183</v>
      </c>
      <c r="U14" s="16">
        <f>M14-S14</f>
        <v/>
      </c>
      <c r="V14" s="17" t="n">
        <v>50</v>
      </c>
      <c r="W14" s="19">
        <f>T14+U14+V14</f>
        <v/>
      </c>
      <c r="AC14" s="42" t="n">
        <v>244781</v>
      </c>
      <c r="AD14" s="43" t="n">
        <v>250685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2731.999167266542</v>
      </c>
      <c r="C15" s="40" t="n">
        <v>2784.209246232632</v>
      </c>
      <c r="D15" s="51" t="n">
        <v>2782.233833927906</v>
      </c>
      <c r="E15" s="40">
        <f>(C15-B15)+C15</f>
        <v/>
      </c>
      <c r="F15" s="41">
        <f>(C15-D15)/C15</f>
        <v/>
      </c>
      <c r="G15" s="44" t="n">
        <v>237796</v>
      </c>
      <c r="H15" s="43" t="n">
        <v>242049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80557</v>
      </c>
      <c r="N15" s="21" t="n">
        <v>81794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157239</v>
      </c>
      <c r="T15" s="43" t="n">
        <v>160255</v>
      </c>
      <c r="U15" s="16">
        <f>M15-S15</f>
        <v/>
      </c>
      <c r="V15" s="17" t="n">
        <v>53</v>
      </c>
      <c r="W15" s="19">
        <f>T15+U15+V15</f>
        <v/>
      </c>
      <c r="AC15" s="42" t="n">
        <v>237681</v>
      </c>
      <c r="AD15" s="43" t="n">
        <v>241934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482.2354303418618</v>
      </c>
      <c r="C16" s="40" t="n">
        <v>491.882599210352</v>
      </c>
      <c r="D16" s="51" t="n">
        <v>493.1237068223504</v>
      </c>
      <c r="E16" s="40">
        <f>(C16-B16)+C16</f>
        <v/>
      </c>
      <c r="F16" s="41">
        <f>(C16-D16)/C16</f>
        <v/>
      </c>
      <c r="G16" s="44" t="n">
        <v>68577</v>
      </c>
      <c r="H16" s="43" t="n">
        <v>69723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19286</v>
      </c>
      <c r="N16" s="21" t="n">
        <v>19551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49291</v>
      </c>
      <c r="T16" s="43" t="n">
        <v>50172</v>
      </c>
      <c r="U16" s="16">
        <f>M16-S16</f>
        <v/>
      </c>
      <c r="V16" s="17" t="n">
        <v>11</v>
      </c>
      <c r="W16" s="19">
        <f>T16+U16+V16</f>
        <v/>
      </c>
      <c r="AC16" s="42" t="n">
        <v>68557</v>
      </c>
      <c r="AD16" s="43" t="n">
        <v>69703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4543.252810344728</v>
      </c>
      <c r="C17" s="40" t="n">
        <v>4633.959419739678</v>
      </c>
      <c r="D17" s="51" t="n">
        <v>4627.457648891635</v>
      </c>
      <c r="E17" s="40">
        <f>(C17-B17)+C17</f>
        <v/>
      </c>
      <c r="F17" s="41">
        <f>(C17-D17)/C17</f>
        <v/>
      </c>
      <c r="G17" s="44" t="n">
        <v>293581</v>
      </c>
      <c r="H17" s="43" t="n">
        <v>297960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145224</v>
      </c>
      <c r="N17" s="21" t="n">
        <v>147342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148357</v>
      </c>
      <c r="T17" s="43" t="n">
        <v>150618</v>
      </c>
      <c r="U17" s="16">
        <f>M17-S17</f>
        <v/>
      </c>
      <c r="V17" s="17" t="n">
        <v>147</v>
      </c>
      <c r="W17" s="19">
        <f>T17+U17+V17</f>
        <v/>
      </c>
      <c r="AC17" s="42" t="n">
        <v>293442</v>
      </c>
      <c r="AD17" s="43" t="n">
        <v>297821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1523.066825485396</v>
      </c>
      <c r="C18" s="40" t="n">
        <v>1547.861590581882</v>
      </c>
      <c r="D18" s="51" t="n">
        <v>1546.197823466651</v>
      </c>
      <c r="E18" s="40">
        <f>(C18-B18)+C18</f>
        <v/>
      </c>
      <c r="F18" s="41">
        <f>(C18-D18)/C18</f>
        <v/>
      </c>
      <c r="G18" s="44" t="n">
        <v>276834</v>
      </c>
      <c r="H18" s="43" t="n">
        <v>278678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35678</v>
      </c>
      <c r="N18" s="21" t="n">
        <v>36342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241156</v>
      </c>
      <c r="T18" s="43" t="n">
        <v>242336</v>
      </c>
      <c r="U18" s="16">
        <f>M18-S18</f>
        <v/>
      </c>
      <c r="V18" s="17" t="n">
        <v>28</v>
      </c>
      <c r="W18" s="19">
        <f>T18+U18+V18</f>
        <v/>
      </c>
      <c r="AC18" s="42" t="n">
        <v>276728</v>
      </c>
      <c r="AD18" s="43" t="n">
        <v>278572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1519.971319006146</v>
      </c>
      <c r="C19" s="40" t="n">
        <v>1545.395773493268</v>
      </c>
      <c r="D19" s="51" t="n">
        <v>1545.31013421184</v>
      </c>
      <c r="E19" s="40">
        <f>(C19-B19)+C19</f>
        <v/>
      </c>
      <c r="F19" s="41">
        <f>(C19-D19)/C19</f>
        <v/>
      </c>
      <c r="G19" s="44" t="n">
        <v>117916</v>
      </c>
      <c r="H19" s="43" t="n">
        <v>119491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40921</v>
      </c>
      <c r="N19" s="21" t="n">
        <v>41448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76995</v>
      </c>
      <c r="T19" s="43" t="n">
        <v>78043</v>
      </c>
      <c r="U19" s="16">
        <f>M19-S19</f>
        <v/>
      </c>
      <c r="V19" s="17" t="n">
        <v>60</v>
      </c>
      <c r="W19" s="19">
        <f>T19+U19+V19</f>
        <v/>
      </c>
      <c r="AC19" s="42" t="n">
        <v>117842</v>
      </c>
      <c r="AD19" s="43" t="n">
        <v>119417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592.2151333029238</v>
      </c>
      <c r="C20" s="40" t="n">
        <v>604.7903819751506</v>
      </c>
      <c r="D20" s="51" t="n">
        <v>603.7195366310076</v>
      </c>
      <c r="E20" s="40">
        <f>(C20-B20)+C20</f>
        <v/>
      </c>
      <c r="F20" s="41">
        <f>(C20-D20)/C20</f>
        <v/>
      </c>
      <c r="G20" s="44" t="n">
        <v>72394</v>
      </c>
      <c r="H20" s="43" t="n">
        <v>73472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21404</v>
      </c>
      <c r="N20" s="21" t="n">
        <v>21756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50990</v>
      </c>
      <c r="T20" s="43" t="n">
        <v>51716</v>
      </c>
      <c r="U20" s="16">
        <f>M20-S20</f>
        <v/>
      </c>
      <c r="V20" s="17" t="n">
        <v>24</v>
      </c>
      <c r="W20" s="19">
        <f>T20+U20+V20</f>
        <v/>
      </c>
      <c r="AC20" s="42" t="n">
        <v>72342</v>
      </c>
      <c r="AD20" s="43" t="n">
        <v>73420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210.6125855918686</v>
      </c>
      <c r="C21" s="40" t="n">
        <v>215.1398587777126</v>
      </c>
      <c r="D21" s="51" t="n">
        <v>214.82635042022</v>
      </c>
      <c r="E21" s="40">
        <f>(C21-B21)+C21</f>
        <v/>
      </c>
      <c r="F21" s="41">
        <f>(C21-D21)/C21</f>
        <v/>
      </c>
      <c r="G21" s="25" t="n">
        <v>21405</v>
      </c>
      <c r="H21" s="21" t="n">
        <v>21703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8826</v>
      </c>
      <c r="N21" s="21" t="n">
        <v>8976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12579</v>
      </c>
      <c r="T21" s="43" t="n">
        <v>12727</v>
      </c>
      <c r="U21" s="16">
        <f>M21-S21</f>
        <v/>
      </c>
      <c r="V21" s="17" t="n">
        <v>25</v>
      </c>
      <c r="W21" s="19">
        <f>T21+U21+V21</f>
        <v/>
      </c>
      <c r="AC21" s="25" t="n">
        <v>21392</v>
      </c>
      <c r="AD21" s="21" t="n">
        <v>21690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113.3463411939548</v>
      </c>
      <c r="C22" s="40" t="n">
        <v>115.90262866992</v>
      </c>
      <c r="D22" s="51" t="n">
        <v>115.6710893517036</v>
      </c>
      <c r="E22" s="40">
        <f>(C22-B22)+C22</f>
        <v/>
      </c>
      <c r="F22" s="41">
        <f>(C22-D22)/C22</f>
        <v/>
      </c>
      <c r="G22" s="44" t="n">
        <v>10405</v>
      </c>
      <c r="H22" s="43" t="n">
        <v>10609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3966</v>
      </c>
      <c r="N22" s="21" t="n">
        <v>4051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6439</v>
      </c>
      <c r="T22" s="43" t="n">
        <v>6558</v>
      </c>
      <c r="U22" s="16">
        <f>M22-S22</f>
        <v/>
      </c>
      <c r="V22" s="17" t="n">
        <v>6</v>
      </c>
      <c r="W22" s="19">
        <f>T22+U22+V22</f>
        <v/>
      </c>
      <c r="AC22" s="42" t="n">
        <v>10388</v>
      </c>
      <c r="AD22" s="43" t="n">
        <v>10592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3321.358882090864</v>
      </c>
      <c r="C23" s="40" t="n">
        <v>3397.627816799379</v>
      </c>
      <c r="D23" s="51" t="n">
        <v>3390.95881272677</v>
      </c>
      <c r="E23" s="40">
        <f>(C23-B23)+C23</f>
        <v/>
      </c>
      <c r="F23" s="41">
        <f>(C23-D23)/C23</f>
        <v/>
      </c>
      <c r="G23" s="44" t="n">
        <v>381272</v>
      </c>
      <c r="H23" s="43" t="n">
        <v>386157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156209</v>
      </c>
      <c r="N23" s="21" t="n">
        <v>158436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225063</v>
      </c>
      <c r="T23" s="43" t="n">
        <v>227721</v>
      </c>
      <c r="U23" s="16">
        <f>M23-S23</f>
        <v/>
      </c>
      <c r="V23" s="17" t="n">
        <v>55</v>
      </c>
      <c r="W23" s="19">
        <f>T23+U23+V23</f>
        <v/>
      </c>
      <c r="AC23" s="42" t="n">
        <v>381161</v>
      </c>
      <c r="AD23" s="43" t="n">
        <v>386046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800.7746526336854</v>
      </c>
      <c r="C24" s="40" t="n">
        <v>817.5562563392245</v>
      </c>
      <c r="D24" s="51" t="n">
        <v>816.0630208175385</v>
      </c>
      <c r="E24" s="40">
        <f>(C24-B24)+C24</f>
        <v/>
      </c>
      <c r="F24" s="41">
        <f>(C24-D24)/C24</f>
        <v/>
      </c>
      <c r="G24" s="44" t="n">
        <v>91999</v>
      </c>
      <c r="H24" s="43" t="n">
        <v>93509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35640</v>
      </c>
      <c r="N24" s="21" t="n">
        <v>36216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56359</v>
      </c>
      <c r="T24" s="43" t="n">
        <v>57293</v>
      </c>
      <c r="U24" s="16">
        <f>M24-S24</f>
        <v/>
      </c>
      <c r="V24" s="17" t="n">
        <v>19</v>
      </c>
      <c r="W24" s="19">
        <f>T24+U24+V24</f>
        <v/>
      </c>
      <c r="AC24" s="42" t="n">
        <v>91959</v>
      </c>
      <c r="AD24" s="43" t="n">
        <v>93469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1028.444680362373</v>
      </c>
      <c r="C25" s="40" t="n">
        <v>1048.488862678314</v>
      </c>
      <c r="D25" s="51" t="n">
        <v>1047.663570401815</v>
      </c>
      <c r="E25" s="40">
        <f>(C25-B25)+C25</f>
        <v/>
      </c>
      <c r="F25" s="41">
        <f>(C25-D25)/C25</f>
        <v/>
      </c>
      <c r="G25" s="44" t="n">
        <v>142241</v>
      </c>
      <c r="H25" s="43" t="n">
        <v>143604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37646</v>
      </c>
      <c r="N25" s="21" t="n">
        <v>38239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104595</v>
      </c>
      <c r="T25" s="43" t="n">
        <v>105365</v>
      </c>
      <c r="U25" s="16">
        <f>M25-S25</f>
        <v/>
      </c>
      <c r="V25" s="17" t="n">
        <v>20</v>
      </c>
      <c r="W25" s="19">
        <f>T25+U25+V25</f>
        <v/>
      </c>
      <c r="AC25" s="42" t="n">
        <v>142207</v>
      </c>
      <c r="AD25" s="43" t="n">
        <v>143570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8548.292469293412</v>
      </c>
      <c r="C26" s="40" t="n">
        <v>8701.603640709076</v>
      </c>
      <c r="D26" s="51" t="n">
        <v>8711.935852293871</v>
      </c>
      <c r="E26" s="40">
        <f>(C26-B26)+C26</f>
        <v/>
      </c>
      <c r="F26" s="41">
        <f>(C26-D26)/C26</f>
        <v/>
      </c>
      <c r="G26" s="44" t="n">
        <v>156345</v>
      </c>
      <c r="H26" s="43" t="n">
        <v>158380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143625</v>
      </c>
      <c r="N26" s="21" t="n">
        <v>145493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12720</v>
      </c>
      <c r="T26" s="43" t="n">
        <v>12887</v>
      </c>
      <c r="U26" s="16">
        <f>M26-S26</f>
        <v/>
      </c>
      <c r="V26" s="17" t="n">
        <v>9</v>
      </c>
      <c r="W26" s="19">
        <f>T26+U26+V26</f>
        <v/>
      </c>
      <c r="AC26" s="42" t="n">
        <v>156171</v>
      </c>
      <c r="AD26" s="43" t="n">
        <v>158206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4203.045026412668</v>
      </c>
      <c r="C27" s="40" t="n">
        <v>4270.00290308106</v>
      </c>
      <c r="D27" s="51" t="n">
        <v>4268.487241262535</v>
      </c>
      <c r="E27" s="40">
        <f>(C27-B27)+C27</f>
        <v/>
      </c>
      <c r="F27" s="41">
        <f>(C27-D27)/C27</f>
        <v/>
      </c>
      <c r="G27" s="44" t="n">
        <v>264529</v>
      </c>
      <c r="H27" s="43" t="n">
        <v>268686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135379</v>
      </c>
      <c r="N27" s="21" t="n">
        <v>137473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129150</v>
      </c>
      <c r="T27" s="43" t="n">
        <v>131213</v>
      </c>
      <c r="U27" s="16">
        <f>M27-S27</f>
        <v/>
      </c>
      <c r="V27" s="17" t="n">
        <v>60</v>
      </c>
      <c r="W27" s="19">
        <f>T27+U27+V27</f>
        <v/>
      </c>
      <c r="AC27" s="42" t="n">
        <v>264371</v>
      </c>
      <c r="AD27" s="43" t="n">
        <v>268528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1390.76215330416</v>
      </c>
      <c r="C28" s="40" t="n">
        <v>1408.68275855449</v>
      </c>
      <c r="D28" s="51" t="n">
        <v>1408.004185741224</v>
      </c>
      <c r="E28" s="40">
        <f>(C28-B28)+C28</f>
        <v/>
      </c>
      <c r="F28" s="41">
        <f>(C28-D28)/C28</f>
        <v/>
      </c>
      <c r="G28" s="44" t="n">
        <v>41928</v>
      </c>
      <c r="H28" s="43" t="n">
        <v>42631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25416</v>
      </c>
      <c r="N28" s="21" t="n">
        <v>25835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16512</v>
      </c>
      <c r="T28" s="43" t="n">
        <v>16796</v>
      </c>
      <c r="U28" s="16">
        <f>M28-S28</f>
        <v/>
      </c>
      <c r="V28" s="17" t="n">
        <v>6</v>
      </c>
      <c r="W28" s="19">
        <f>T28+U28+V28</f>
        <v/>
      </c>
      <c r="AC28" s="42" t="n">
        <v>41897</v>
      </c>
      <c r="AD28" s="43" t="n">
        <v>42600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43.54585102680907</v>
      </c>
      <c r="C29" s="40" t="n">
        <v>44.60171946762019</v>
      </c>
      <c r="D29" s="51" t="n">
        <v>44.57684438321121</v>
      </c>
      <c r="E29" s="40">
        <f>(C29-B29)+C29</f>
        <v/>
      </c>
      <c r="F29" s="41">
        <f>(C29-D29)/C29</f>
        <v/>
      </c>
      <c r="G29" s="44" t="n">
        <v>3173</v>
      </c>
      <c r="H29" s="43" t="n">
        <v>3217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1202</v>
      </c>
      <c r="N29" s="21" t="n">
        <v>1212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1971</v>
      </c>
      <c r="T29" s="43" t="n">
        <v>2005</v>
      </c>
      <c r="U29" s="16">
        <f>M29-S29</f>
        <v/>
      </c>
      <c r="V29" s="17" t="n">
        <v>1</v>
      </c>
      <c r="W29" s="19">
        <f>T29+U29+V29</f>
        <v/>
      </c>
      <c r="AC29" s="42" t="n">
        <v>3167</v>
      </c>
      <c r="AD29" s="43" t="n">
        <v>3211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794.9085897188691</v>
      </c>
      <c r="C30" s="40" t="n">
        <v>810.4122590672104</v>
      </c>
      <c r="D30" s="51" t="n">
        <v>809.4173042272135</v>
      </c>
      <c r="E30" s="40">
        <f>(C30-B30)+C30</f>
        <v/>
      </c>
      <c r="F30" s="41">
        <f>(C30-D30)/C30</f>
        <v/>
      </c>
      <c r="G30" s="44" t="n">
        <v>78351</v>
      </c>
      <c r="H30" s="43" t="n">
        <v>79647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20017</v>
      </c>
      <c r="N30" s="21" t="n">
        <v>20368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58334</v>
      </c>
      <c r="T30" s="43" t="n">
        <v>59279</v>
      </c>
      <c r="U30" s="16">
        <f>M30-S30</f>
        <v/>
      </c>
      <c r="V30" s="17" t="n">
        <v>29</v>
      </c>
      <c r="W30" s="19">
        <f>T30+U30+V30</f>
        <v/>
      </c>
      <c r="AC30" s="42" t="n">
        <v>78318</v>
      </c>
      <c r="AD30" s="43" t="n">
        <v>79614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1604.46092880025</v>
      </c>
      <c r="C31" s="40" t="n">
        <v>1631.894335192574</v>
      </c>
      <c r="D31" s="51" t="n">
        <v>1630.711604324863</v>
      </c>
      <c r="E31" s="40">
        <f>(C31-B31)+C31</f>
        <v/>
      </c>
      <c r="F31" s="41">
        <f>(C31-D31)/C31</f>
        <v/>
      </c>
      <c r="G31" s="44" t="n">
        <v>155857</v>
      </c>
      <c r="H31" s="43" t="n">
        <v>158912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54159</v>
      </c>
      <c r="N31" s="21" t="n">
        <v>55158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101698</v>
      </c>
      <c r="T31" s="43" t="n">
        <v>103754</v>
      </c>
      <c r="U31" s="16">
        <f>M31-S31</f>
        <v/>
      </c>
      <c r="V31" s="17" t="n">
        <v>45</v>
      </c>
      <c r="W31" s="19">
        <f>T31+U31+V31</f>
        <v/>
      </c>
      <c r="AC31" s="42" t="n">
        <v>155784</v>
      </c>
      <c r="AD31" s="43" t="n">
        <v>158839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8132.75755965462</v>
      </c>
      <c r="C32" s="40" t="n">
        <v>8254.918719702762</v>
      </c>
      <c r="D32" s="51" t="n">
        <v>8250.282865660494</v>
      </c>
      <c r="E32" s="40">
        <f>(C32-B32)+C32</f>
        <v/>
      </c>
      <c r="F32" s="41">
        <f>(C32-D32)/C32</f>
        <v/>
      </c>
      <c r="G32" s="44" t="n">
        <v>315366</v>
      </c>
      <c r="H32" s="43" t="n">
        <v>321053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163857</v>
      </c>
      <c r="N32" s="21" t="n">
        <v>166705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151509</v>
      </c>
      <c r="T32" s="43" t="n">
        <v>154348</v>
      </c>
      <c r="U32" s="16">
        <f>M32-S32</f>
        <v/>
      </c>
      <c r="V32" s="17" t="n">
        <v>56</v>
      </c>
      <c r="W32" s="19">
        <f>T32+U32+V32</f>
        <v/>
      </c>
      <c r="AC32" s="42" t="n">
        <v>315208</v>
      </c>
      <c r="AD32" s="43" t="n">
        <v>320895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1988.449780995626</v>
      </c>
      <c r="C33" s="40" t="n">
        <v>2017.641614141624</v>
      </c>
      <c r="D33" s="51" t="n">
        <v>2019.597950607144</v>
      </c>
      <c r="E33" s="40">
        <f>(C33-B33)+C33</f>
        <v/>
      </c>
      <c r="F33" s="41">
        <f>(C33-D33)/C33</f>
        <v/>
      </c>
      <c r="G33" s="44" t="n">
        <v>95893</v>
      </c>
      <c r="H33" s="43" t="n">
        <v>97353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52896</v>
      </c>
      <c r="N33" s="21" t="n">
        <v>53681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42997</v>
      </c>
      <c r="T33" s="43" t="n">
        <v>43672</v>
      </c>
      <c r="U33" s="16">
        <f>M33-S33</f>
        <v/>
      </c>
      <c r="V33" s="17" t="n">
        <v>15</v>
      </c>
      <c r="W33" s="19">
        <f>T33+U33+V33</f>
        <v/>
      </c>
      <c r="AC33" s="42" t="n">
        <v>95839</v>
      </c>
      <c r="AD33" s="43" t="n">
        <v>97298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3883729.011431021</v>
      </c>
      <c r="C34" s="28" t="n">
        <v>4115576.014714042</v>
      </c>
      <c r="D34" s="53" t="n">
        <v>4106410.488347342</v>
      </c>
      <c r="E34" s="28">
        <f>(C34-B34)+C34</f>
        <v/>
      </c>
      <c r="F34" s="30">
        <f>(C34-D34)/C34</f>
        <v/>
      </c>
      <c r="G34" s="26" t="n">
        <v>44274694</v>
      </c>
      <c r="H34" s="31" t="n">
        <v>45659967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2645210</v>
      </c>
      <c r="N34" s="33" t="n">
        <v>2684821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3589307</v>
      </c>
      <c r="T34" s="31" t="n">
        <v>3640590</v>
      </c>
      <c r="U34" s="31" t="n">
        <v>240028</v>
      </c>
      <c r="V34" s="31" t="n">
        <v>1244</v>
      </c>
      <c r="W34" s="31">
        <f>T34+U34+V34</f>
        <v/>
      </c>
      <c r="X34" s="32" t="n">
        <v>38040177</v>
      </c>
      <c r="Y34" s="34" t="n">
        <v>39334556</v>
      </c>
      <c r="Z34" s="34" t="n">
        <v>4986</v>
      </c>
      <c r="AA34" s="34" t="n">
        <v>272</v>
      </c>
      <c r="AB34" s="34">
        <f>Y34+Z34+AA34</f>
        <v/>
      </c>
      <c r="AC34" s="35" t="n">
        <v>6230872</v>
      </c>
      <c r="AD34" s="31" t="n">
        <v>6321766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35618</v>
      </c>
      <c r="E39" s="17">
        <f>D39+C39</f>
        <v/>
      </c>
    </row>
    <row r="42">
      <c r="A42" s="9" t="n"/>
      <c r="B42" s="54" t="n"/>
    </row>
    <row r="44">
      <c r="A44" s="9" t="n"/>
    </row>
    <row r="45">
      <c r="A45" s="9" t="n"/>
      <c r="B45" s="54" t="n"/>
      <c r="E45" s="9" t="n"/>
    </row>
    <row r="47">
      <c r="A47" s="9" t="n"/>
      <c r="B47" s="54" t="n"/>
      <c r="E47" s="9" t="n"/>
    </row>
    <row r="49">
      <c r="A49" s="9" t="n"/>
      <c r="B49" s="54" t="n"/>
      <c r="E49" s="9" t="n"/>
    </row>
    <row r="51">
      <c r="A51" s="9" t="n"/>
      <c r="B51" s="54" t="n"/>
      <c r="E51" s="9" t="n"/>
    </row>
    <row r="53">
      <c r="A53" s="9" t="n"/>
      <c r="B53" s="54" t="n"/>
      <c r="E53" s="9" t="n"/>
    </row>
    <row r="55">
      <c r="A55" s="9" t="n"/>
      <c r="B55" s="54" t="n"/>
      <c r="E55" s="9" t="n"/>
    </row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2116.064320849857</v>
      </c>
      <c r="C3" s="40" t="n">
        <v>2148.827706476083</v>
      </c>
      <c r="D3" s="51" t="n">
        <v>2150.523585944726</v>
      </c>
      <c r="E3" s="40">
        <f>(C3-B3)+C3</f>
        <v/>
      </c>
      <c r="F3" s="41">
        <f>(C3-D3)/C3</f>
        <v/>
      </c>
      <c r="G3" s="44" t="n">
        <v>162839</v>
      </c>
      <c r="H3" s="43" t="n">
        <v>165145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74433</v>
      </c>
      <c r="N3" s="21" t="n">
        <v>75488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88406</v>
      </c>
      <c r="T3" s="43" t="n">
        <v>89657</v>
      </c>
      <c r="U3" s="16">
        <f>M3-S3</f>
        <v/>
      </c>
      <c r="V3" s="17" t="n">
        <v>36</v>
      </c>
      <c r="W3" s="19">
        <f>T3+U3+V3</f>
        <v/>
      </c>
      <c r="AC3" s="42" t="n">
        <v>162765</v>
      </c>
      <c r="AD3" s="43" t="n">
        <v>165071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92240.54867084228</v>
      </c>
      <c r="C4" s="40" t="n">
        <v>94856.51253931584</v>
      </c>
      <c r="D4" s="51" t="n">
        <v>94743.50735778171</v>
      </c>
      <c r="E4" s="40">
        <f>(C4-B4)+C4</f>
        <v/>
      </c>
      <c r="F4" s="41">
        <f>(C4-D4)/C4</f>
        <v/>
      </c>
      <c r="G4" s="44" t="n">
        <v>176937</v>
      </c>
      <c r="H4" s="43" t="n">
        <v>179243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169082</v>
      </c>
      <c r="N4" s="21" t="n">
        <v>171268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7855</v>
      </c>
      <c r="T4" s="43" t="n">
        <v>7975</v>
      </c>
      <c r="U4" s="16">
        <f>M4-S4</f>
        <v/>
      </c>
      <c r="V4" s="17" t="n">
        <v>6</v>
      </c>
      <c r="W4" s="19">
        <f>T4+U4+V4</f>
        <v/>
      </c>
      <c r="AC4" s="42" t="n">
        <v>176572</v>
      </c>
      <c r="AD4" s="43" t="n">
        <v>178876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2826.671207336373</v>
      </c>
      <c r="C5" s="40" t="n">
        <v>2873.552004626843</v>
      </c>
      <c r="D5" s="51" t="n">
        <v>2875.53454060842</v>
      </c>
      <c r="E5" s="40">
        <f>(C5-B5)+C5</f>
        <v/>
      </c>
      <c r="F5" s="41">
        <f>(C5-D5)/C5</f>
        <v/>
      </c>
      <c r="G5" s="44" t="n">
        <v>328180</v>
      </c>
      <c r="H5" s="43" t="n">
        <v>332591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99235</v>
      </c>
      <c r="N5" s="21" t="n">
        <v>100524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228945</v>
      </c>
      <c r="T5" s="43" t="n">
        <v>232067</v>
      </c>
      <c r="U5" s="16">
        <f>M5-S5</f>
        <v/>
      </c>
      <c r="V5" s="17" t="n">
        <v>38</v>
      </c>
      <c r="W5" s="19">
        <f>T5+U5+V5</f>
        <v/>
      </c>
      <c r="AC5" s="42" t="n">
        <v>328063</v>
      </c>
      <c r="AD5" s="43" t="n">
        <v>332473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451.4965653133163</v>
      </c>
      <c r="C6" s="40" t="n">
        <v>460.5837645457505</v>
      </c>
      <c r="D6" s="51" t="n">
        <v>460.5596663497557</v>
      </c>
      <c r="E6" s="40">
        <f>(C6-B6)+C6</f>
        <v/>
      </c>
      <c r="F6" s="41">
        <f>(C6-D6)/C6</f>
        <v/>
      </c>
      <c r="G6" s="25" t="n">
        <v>54242</v>
      </c>
      <c r="H6" s="21" t="n">
        <v>55128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20960</v>
      </c>
      <c r="N6" s="21" t="n">
        <v>21290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33282</v>
      </c>
      <c r="T6" s="43" t="n">
        <v>33838</v>
      </c>
      <c r="U6" s="16">
        <f>M6-S6</f>
        <v/>
      </c>
      <c r="V6" s="17" t="n">
        <v>4</v>
      </c>
      <c r="W6" s="19">
        <f>T6+U6+V6</f>
        <v/>
      </c>
      <c r="AC6" s="25" t="n">
        <v>54225</v>
      </c>
      <c r="AD6" s="21" t="n">
        <v>55111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14063.66394671538</v>
      </c>
      <c r="C7" s="40" t="n">
        <v>14310.58188617743</v>
      </c>
      <c r="D7" s="51" t="n">
        <v>14303.32591203796</v>
      </c>
      <c r="E7" s="40">
        <f>(C7-B7)+C7</f>
        <v/>
      </c>
      <c r="F7" s="41">
        <f>(C7-D7)/C7</f>
        <v/>
      </c>
      <c r="G7" s="44" t="n">
        <v>761138</v>
      </c>
      <c r="H7" s="43" t="n">
        <v>773682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399352</v>
      </c>
      <c r="N7" s="21" t="n">
        <v>406808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361786</v>
      </c>
      <c r="T7" s="43" t="n">
        <v>366874</v>
      </c>
      <c r="U7" s="16">
        <f>M7-S7</f>
        <v/>
      </c>
      <c r="V7" s="17" t="n">
        <v>96</v>
      </c>
      <c r="W7" s="19">
        <f>T7+U7+V7</f>
        <v/>
      </c>
      <c r="AC7" s="42" t="n">
        <v>760691</v>
      </c>
      <c r="AD7" s="43" t="n">
        <v>773232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1657.084845876519</v>
      </c>
      <c r="C8" s="40" t="n">
        <v>1684.298575270651</v>
      </c>
      <c r="D8" s="51" t="n">
        <v>1684.328762148438</v>
      </c>
      <c r="E8" s="40">
        <f>(C8-B8)+C8</f>
        <v/>
      </c>
      <c r="F8" s="41">
        <f>(C8-D8)/C8</f>
        <v/>
      </c>
      <c r="G8" s="44" t="n">
        <v>132267</v>
      </c>
      <c r="H8" s="43" t="n">
        <v>134169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54289</v>
      </c>
      <c r="N8" s="21" t="n">
        <v>54978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77978</v>
      </c>
      <c r="T8" s="43" t="n">
        <v>79191</v>
      </c>
      <c r="U8" s="16">
        <f>M8-S8</f>
        <v/>
      </c>
      <c r="V8" s="17" t="n">
        <v>23</v>
      </c>
      <c r="W8" s="19">
        <f>T8+U8+V8</f>
        <v/>
      </c>
      <c r="AC8" s="42" t="n">
        <v>132200</v>
      </c>
      <c r="AD8" s="43" t="n">
        <v>134102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2613.678291563197</v>
      </c>
      <c r="C9" s="40" t="n">
        <v>2628.312532507106</v>
      </c>
      <c r="D9" s="51" t="n">
        <v>2629.411223396924</v>
      </c>
      <c r="E9" s="40">
        <f>(C9-B9)+C9</f>
        <v/>
      </c>
      <c r="F9" s="41">
        <f>(C9-D9)/C9</f>
        <v/>
      </c>
      <c r="G9" s="44" t="n">
        <v>90662</v>
      </c>
      <c r="H9" s="43" t="n">
        <v>91901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40546</v>
      </c>
      <c r="N9" s="21" t="n">
        <v>41064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50116</v>
      </c>
      <c r="T9" s="43" t="n">
        <v>50837</v>
      </c>
      <c r="U9" s="16">
        <f>M9-S9</f>
        <v/>
      </c>
      <c r="V9" s="17" t="n">
        <v>27</v>
      </c>
      <c r="W9" s="19">
        <f>T9+U9+V9</f>
        <v/>
      </c>
      <c r="AC9" s="42" t="n">
        <v>90624</v>
      </c>
      <c r="AD9" s="43" t="n">
        <v>91863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2810.988199622034</v>
      </c>
      <c r="C10" s="40" t="n">
        <v>2853.36570188151</v>
      </c>
      <c r="D10" s="51" t="n">
        <v>2853.208641458802</v>
      </c>
      <c r="E10" s="40">
        <f>(C10-B10)+C10</f>
        <v/>
      </c>
      <c r="F10" s="41">
        <f>(C10-D10)/C10</f>
        <v/>
      </c>
      <c r="G10" s="44" t="n">
        <v>221460</v>
      </c>
      <c r="H10" s="43" t="n">
        <v>223246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38144</v>
      </c>
      <c r="N10" s="21" t="n">
        <v>38682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183316</v>
      </c>
      <c r="T10" s="43" t="n">
        <v>184564</v>
      </c>
      <c r="U10" s="16">
        <f>M10-S10</f>
        <v/>
      </c>
      <c r="V10" s="17" t="n">
        <v>44</v>
      </c>
      <c r="W10" s="19">
        <f>T10+U10+V10</f>
        <v/>
      </c>
      <c r="AC10" s="42" t="n">
        <v>221437</v>
      </c>
      <c r="AD10" s="43" t="n">
        <v>223223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1602.434408216454</v>
      </c>
      <c r="C11" s="40" t="n">
        <v>1636.569601380151</v>
      </c>
      <c r="D11" s="51" t="n">
        <v>1636.493248099457</v>
      </c>
      <c r="E11" s="40">
        <f>(C11-B11)+C11</f>
        <v/>
      </c>
      <c r="F11" s="41">
        <f>(C11-D11)/C11</f>
        <v/>
      </c>
      <c r="G11" s="44" t="n">
        <v>193388</v>
      </c>
      <c r="H11" s="43" t="n">
        <v>196116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71127</v>
      </c>
      <c r="N11" s="21" t="n">
        <v>72318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122261</v>
      </c>
      <c r="T11" s="43" t="n">
        <v>123798</v>
      </c>
      <c r="U11" s="16">
        <f>M11-S11</f>
        <v/>
      </c>
      <c r="V11" s="17" t="n">
        <v>53</v>
      </c>
      <c r="W11" s="19">
        <f>T11+U11+V11</f>
        <v/>
      </c>
      <c r="AC11" s="42" t="n">
        <v>193313</v>
      </c>
      <c r="AD11" s="43" t="n">
        <v>196040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2931.306531083284</v>
      </c>
      <c r="C12" s="40" t="n">
        <v>2985.922339355216</v>
      </c>
      <c r="D12" s="51" t="n">
        <v>3001.602093146593</v>
      </c>
      <c r="E12" s="40">
        <f>(C12-B12)+C12</f>
        <v/>
      </c>
      <c r="F12" s="41">
        <f>(C12-D12)/C12</f>
        <v/>
      </c>
      <c r="G12" s="44" t="n">
        <v>292086</v>
      </c>
      <c r="H12" s="43" t="n">
        <v>296659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115201</v>
      </c>
      <c r="N12" s="21" t="n">
        <v>116749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176885</v>
      </c>
      <c r="T12" s="43" t="n">
        <v>179910</v>
      </c>
      <c r="U12" s="16">
        <f>M12-S12</f>
        <v/>
      </c>
      <c r="V12" s="17" t="n">
        <v>64</v>
      </c>
      <c r="W12" s="19">
        <f>T12+U12+V12</f>
        <v/>
      </c>
      <c r="AC12" s="42" t="n">
        <v>291942</v>
      </c>
      <c r="AD12" s="43" t="n">
        <v>296515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837.4723826293375</v>
      </c>
      <c r="C13" s="40" t="n">
        <v>853.7913817974277</v>
      </c>
      <c r="D13" s="51" t="n">
        <v>854.8291152497887</v>
      </c>
      <c r="E13" s="40">
        <f>(C13-B13)+C13</f>
        <v/>
      </c>
      <c r="F13" s="41">
        <f>(C13-D13)/C13</f>
        <v/>
      </c>
      <c r="G13" s="44" t="n">
        <v>74883</v>
      </c>
      <c r="H13" s="43" t="n">
        <v>76259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20921</v>
      </c>
      <c r="N13" s="21" t="n">
        <v>21320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53962</v>
      </c>
      <c r="T13" s="43" t="n">
        <v>54939</v>
      </c>
      <c r="U13" s="16">
        <f>M13-S13</f>
        <v/>
      </c>
      <c r="V13" s="17" t="n">
        <v>36</v>
      </c>
      <c r="W13" s="19">
        <f>T13+U13+V13</f>
        <v/>
      </c>
      <c r="AC13" s="42" t="n">
        <v>74848</v>
      </c>
      <c r="AD13" s="43" t="n">
        <v>76224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3618.863522958806</v>
      </c>
      <c r="C14" s="40" t="n">
        <v>3682.383827006646</v>
      </c>
      <c r="D14" s="51" t="n">
        <v>3687.302304891645</v>
      </c>
      <c r="E14" s="40">
        <f>(C14-B14)+C14</f>
        <v/>
      </c>
      <c r="F14" s="41">
        <f>(C14-D14)/C14</f>
        <v/>
      </c>
      <c r="G14" s="44" t="n">
        <v>250792</v>
      </c>
      <c r="H14" s="43" t="n">
        <v>254915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87609</v>
      </c>
      <c r="N14" s="21" t="n">
        <v>89091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163183</v>
      </c>
      <c r="T14" s="43" t="n">
        <v>165824</v>
      </c>
      <c r="U14" s="16">
        <f>M14-S14</f>
        <v/>
      </c>
      <c r="V14" s="17" t="n">
        <v>50</v>
      </c>
      <c r="W14" s="19">
        <f>T14+U14+V14</f>
        <v/>
      </c>
      <c r="AC14" s="42" t="n">
        <v>250685</v>
      </c>
      <c r="AD14" s="43" t="n">
        <v>254807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2784.209246232632</v>
      </c>
      <c r="C15" s="40" t="n">
        <v>2835.289001488414</v>
      </c>
      <c r="D15" s="51" t="n">
        <v>2836.419325198723</v>
      </c>
      <c r="E15" s="40">
        <f>(C15-B15)+C15</f>
        <v/>
      </c>
      <c r="F15" s="41">
        <f>(C15-D15)/C15</f>
        <v/>
      </c>
      <c r="G15" s="44" t="n">
        <v>242049</v>
      </c>
      <c r="H15" s="43" t="n">
        <v>245644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81794</v>
      </c>
      <c r="N15" s="21" t="n">
        <v>82869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160255</v>
      </c>
      <c r="T15" s="43" t="n">
        <v>162775</v>
      </c>
      <c r="U15" s="16">
        <f>M15-S15</f>
        <v/>
      </c>
      <c r="V15" s="17" t="n">
        <v>53</v>
      </c>
      <c r="W15" s="19">
        <f>T15+U15+V15</f>
        <v/>
      </c>
      <c r="AC15" s="42" t="n">
        <v>241934</v>
      </c>
      <c r="AD15" s="43" t="n">
        <v>245528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491.882599210352</v>
      </c>
      <c r="C16" s="40" t="n">
        <v>501.2131743035946</v>
      </c>
      <c r="D16" s="51" t="n">
        <v>501.5297680788422</v>
      </c>
      <c r="E16" s="40">
        <f>(C16-B16)+C16</f>
        <v/>
      </c>
      <c r="F16" s="41">
        <f>(C16-D16)/C16</f>
        <v/>
      </c>
      <c r="G16" s="44" t="n">
        <v>69723</v>
      </c>
      <c r="H16" s="43" t="n">
        <v>70577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19551</v>
      </c>
      <c r="N16" s="21" t="n">
        <v>19895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50172</v>
      </c>
      <c r="T16" s="43" t="n">
        <v>50682</v>
      </c>
      <c r="U16" s="16">
        <f>M16-S16</f>
        <v/>
      </c>
      <c r="V16" s="17" t="n">
        <v>11</v>
      </c>
      <c r="W16" s="19">
        <f>T16+U16+V16</f>
        <v/>
      </c>
      <c r="AC16" s="42" t="n">
        <v>69703</v>
      </c>
      <c r="AD16" s="43" t="n">
        <v>70557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4633.959419739678</v>
      </c>
      <c r="C17" s="40" t="n">
        <v>4713.486669644992</v>
      </c>
      <c r="D17" s="51" t="n">
        <v>4724.666029134628</v>
      </c>
      <c r="E17" s="40">
        <f>(C17-B17)+C17</f>
        <v/>
      </c>
      <c r="F17" s="41">
        <f>(C17-D17)/C17</f>
        <v/>
      </c>
      <c r="G17" s="44" t="n">
        <v>297960</v>
      </c>
      <c r="H17" s="43" t="n">
        <v>301807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147342</v>
      </c>
      <c r="N17" s="21" t="n">
        <v>149313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150618</v>
      </c>
      <c r="T17" s="43" t="n">
        <v>152494</v>
      </c>
      <c r="U17" s="16">
        <f>M17-S17</f>
        <v/>
      </c>
      <c r="V17" s="17" t="n">
        <v>147</v>
      </c>
      <c r="W17" s="19">
        <f>T17+U17+V17</f>
        <v/>
      </c>
      <c r="AC17" s="42" t="n">
        <v>297821</v>
      </c>
      <c r="AD17" s="43" t="n">
        <v>301668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1547.861590581882</v>
      </c>
      <c r="C18" s="40" t="n">
        <v>1573.098595564454</v>
      </c>
      <c r="D18" s="51" t="n">
        <v>1572.656355678367</v>
      </c>
      <c r="E18" s="40">
        <f>(C18-B18)+C18</f>
        <v/>
      </c>
      <c r="F18" s="41">
        <f>(C18-D18)/C18</f>
        <v/>
      </c>
      <c r="G18" s="44" t="n">
        <v>278678</v>
      </c>
      <c r="H18" s="43" t="n">
        <v>280557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36342</v>
      </c>
      <c r="N18" s="21" t="n">
        <v>37031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242336</v>
      </c>
      <c r="T18" s="43" t="n">
        <v>243526</v>
      </c>
      <c r="U18" s="16">
        <f>M18-S18</f>
        <v/>
      </c>
      <c r="V18" s="17" t="n">
        <v>28</v>
      </c>
      <c r="W18" s="19">
        <f>T18+U18+V18</f>
        <v/>
      </c>
      <c r="AC18" s="42" t="n">
        <v>278572</v>
      </c>
      <c r="AD18" s="43" t="n">
        <v>280451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1545.395773493268</v>
      </c>
      <c r="C19" s="40" t="n">
        <v>1571.028225165438</v>
      </c>
      <c r="D19" s="51" t="n">
        <v>1570.82022798039</v>
      </c>
      <c r="E19" s="40">
        <f>(C19-B19)+C19</f>
        <v/>
      </c>
      <c r="F19" s="41">
        <f>(C19-D19)/C19</f>
        <v/>
      </c>
      <c r="G19" s="44" t="n">
        <v>119491</v>
      </c>
      <c r="H19" s="43" t="n">
        <v>120906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41448</v>
      </c>
      <c r="N19" s="21" t="n">
        <v>41988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78043</v>
      </c>
      <c r="T19" s="43" t="n">
        <v>78918</v>
      </c>
      <c r="U19" s="16">
        <f>M19-S19</f>
        <v/>
      </c>
      <c r="V19" s="17" t="n">
        <v>60</v>
      </c>
      <c r="W19" s="19">
        <f>T19+U19+V19</f>
        <v/>
      </c>
      <c r="AC19" s="42" t="n">
        <v>119417</v>
      </c>
      <c r="AD19" s="43" t="n">
        <v>120832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604.7903819751506</v>
      </c>
      <c r="C20" s="40" t="n">
        <v>617.7702205667136</v>
      </c>
      <c r="D20" s="51" t="n">
        <v>617.3656306473773</v>
      </c>
      <c r="E20" s="40">
        <f>(C20-B20)+C20</f>
        <v/>
      </c>
      <c r="F20" s="41">
        <f>(C20-D20)/C20</f>
        <v/>
      </c>
      <c r="G20" s="44" t="n">
        <v>73472</v>
      </c>
      <c r="H20" s="43" t="n">
        <v>74455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21756</v>
      </c>
      <c r="N20" s="21" t="n">
        <v>22113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51716</v>
      </c>
      <c r="T20" s="43" t="n">
        <v>52342</v>
      </c>
      <c r="U20" s="16">
        <f>M20-S20</f>
        <v/>
      </c>
      <c r="V20" s="17" t="n">
        <v>24</v>
      </c>
      <c r="W20" s="19">
        <f>T20+U20+V20</f>
        <v/>
      </c>
      <c r="AC20" s="42" t="n">
        <v>73420</v>
      </c>
      <c r="AD20" s="43" t="n">
        <v>74402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215.1398587777126</v>
      </c>
      <c r="C21" s="40" t="n">
        <v>219.1471072729819</v>
      </c>
      <c r="D21" s="51" t="n">
        <v>219.6671319635565</v>
      </c>
      <c r="E21" s="40">
        <f>(C21-B21)+C21</f>
        <v/>
      </c>
      <c r="F21" s="41">
        <f>(C21-D21)/C21</f>
        <v/>
      </c>
      <c r="G21" s="25" t="n">
        <v>21703</v>
      </c>
      <c r="H21" s="21" t="n">
        <v>21981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8976</v>
      </c>
      <c r="N21" s="21" t="n">
        <v>9102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12727</v>
      </c>
      <c r="T21" s="43" t="n">
        <v>12879</v>
      </c>
      <c r="U21" s="16">
        <f>M21-S21</f>
        <v/>
      </c>
      <c r="V21" s="17" t="n">
        <v>25</v>
      </c>
      <c r="W21" s="19">
        <f>T21+U21+V21</f>
        <v/>
      </c>
      <c r="AC21" s="25" t="n">
        <v>21690</v>
      </c>
      <c r="AD21" s="21" t="n">
        <v>21968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115.90262866992</v>
      </c>
      <c r="C22" s="40" t="n">
        <v>118.773819634203</v>
      </c>
      <c r="D22" s="51" t="n">
        <v>118.4589161458853</v>
      </c>
      <c r="E22" s="40">
        <f>(C22-B22)+C22</f>
        <v/>
      </c>
      <c r="F22" s="41">
        <f>(C22-D22)/C22</f>
        <v/>
      </c>
      <c r="G22" s="44" t="n">
        <v>10609</v>
      </c>
      <c r="H22" s="43" t="n">
        <v>10778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4051</v>
      </c>
      <c r="N22" s="21" t="n">
        <v>4125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6558</v>
      </c>
      <c r="T22" s="43" t="n">
        <v>6653</v>
      </c>
      <c r="U22" s="16">
        <f>M22-S22</f>
        <v/>
      </c>
      <c r="V22" s="17" t="n">
        <v>6</v>
      </c>
      <c r="W22" s="19">
        <f>T22+U22+V22</f>
        <v/>
      </c>
      <c r="AC22" s="42" t="n">
        <v>10592</v>
      </c>
      <c r="AD22" s="43" t="n">
        <v>10761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3397.627816799379</v>
      </c>
      <c r="C23" s="40" t="n">
        <v>3465.781071120112</v>
      </c>
      <c r="D23" s="51" t="n">
        <v>3473.896751507894</v>
      </c>
      <c r="E23" s="40">
        <f>(C23-B23)+C23</f>
        <v/>
      </c>
      <c r="F23" s="41">
        <f>(C23-D23)/C23</f>
        <v/>
      </c>
      <c r="G23" s="44" t="n">
        <v>386157</v>
      </c>
      <c r="H23" s="43" t="n">
        <v>390414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158436</v>
      </c>
      <c r="N23" s="21" t="n">
        <v>160465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227721</v>
      </c>
      <c r="T23" s="43" t="n">
        <v>229949</v>
      </c>
      <c r="U23" s="16">
        <f>M23-S23</f>
        <v/>
      </c>
      <c r="V23" s="17" t="n">
        <v>55</v>
      </c>
      <c r="W23" s="19">
        <f>T23+U23+V23</f>
        <v/>
      </c>
      <c r="AC23" s="42" t="n">
        <v>386046</v>
      </c>
      <c r="AD23" s="43" t="n">
        <v>390303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817.5562563392245</v>
      </c>
      <c r="C24" s="40" t="n">
        <v>833.6040924054017</v>
      </c>
      <c r="D24" s="51" t="n">
        <v>834.3378600447637</v>
      </c>
      <c r="E24" s="40">
        <f>(C24-B24)+C24</f>
        <v/>
      </c>
      <c r="F24" s="41">
        <f>(C24-D24)/C24</f>
        <v/>
      </c>
      <c r="G24" s="44" t="n">
        <v>93509</v>
      </c>
      <c r="H24" s="43" t="n">
        <v>94826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36216</v>
      </c>
      <c r="N24" s="21" t="n">
        <v>36754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57293</v>
      </c>
      <c r="T24" s="43" t="n">
        <v>58072</v>
      </c>
      <c r="U24" s="16">
        <f>M24-S24</f>
        <v/>
      </c>
      <c r="V24" s="17" t="n">
        <v>19</v>
      </c>
      <c r="W24" s="19">
        <f>T24+U24+V24</f>
        <v/>
      </c>
      <c r="AC24" s="42" t="n">
        <v>93469</v>
      </c>
      <c r="AD24" s="43" t="n">
        <v>94786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1048.488862678314</v>
      </c>
      <c r="C25" s="40" t="n">
        <v>1067.69038828039</v>
      </c>
      <c r="D25" s="51" t="n">
        <v>1068.533044994256</v>
      </c>
      <c r="E25" s="40">
        <f>(C25-B25)+C25</f>
        <v/>
      </c>
      <c r="F25" s="41">
        <f>(C25-D25)/C25</f>
        <v/>
      </c>
      <c r="G25" s="44" t="n">
        <v>143604</v>
      </c>
      <c r="H25" s="43" t="n">
        <v>144773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38239</v>
      </c>
      <c r="N25" s="21" t="n">
        <v>38715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105365</v>
      </c>
      <c r="T25" s="43" t="n">
        <v>106058</v>
      </c>
      <c r="U25" s="16">
        <f>M25-S25</f>
        <v/>
      </c>
      <c r="V25" s="17" t="n">
        <v>20</v>
      </c>
      <c r="W25" s="19">
        <f>T25+U25+V25</f>
        <v/>
      </c>
      <c r="AC25" s="42" t="n">
        <v>143570</v>
      </c>
      <c r="AD25" s="43" t="n">
        <v>144738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8701.603640709076</v>
      </c>
      <c r="C26" s="40" t="n">
        <v>8862.706017052711</v>
      </c>
      <c r="D26" s="51" t="n">
        <v>8854.91481212474</v>
      </c>
      <c r="E26" s="40">
        <f>(C26-B26)+C26</f>
        <v/>
      </c>
      <c r="F26" s="41">
        <f>(C26-D26)/C26</f>
        <v/>
      </c>
      <c r="G26" s="44" t="n">
        <v>158380</v>
      </c>
      <c r="H26" s="43" t="n">
        <v>160558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145493</v>
      </c>
      <c r="N26" s="21" t="n">
        <v>147509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12887</v>
      </c>
      <c r="T26" s="43" t="n">
        <v>13049</v>
      </c>
      <c r="U26" s="16">
        <f>M26-S26</f>
        <v/>
      </c>
      <c r="V26" s="17" t="n">
        <v>9</v>
      </c>
      <c r="W26" s="19">
        <f>T26+U26+V26</f>
        <v/>
      </c>
      <c r="AC26" s="42" t="n">
        <v>158206</v>
      </c>
      <c r="AD26" s="43" t="n">
        <v>160384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4270.00290308106</v>
      </c>
      <c r="C27" s="40" t="n">
        <v>4338.900703612503</v>
      </c>
      <c r="D27" s="51" t="n">
        <v>4336.960779749452</v>
      </c>
      <c r="E27" s="40">
        <f>(C27-B27)+C27</f>
        <v/>
      </c>
      <c r="F27" s="41">
        <f>(C27-D27)/C27</f>
        <v/>
      </c>
      <c r="G27" s="44" t="n">
        <v>268686</v>
      </c>
      <c r="H27" s="43" t="n">
        <v>272209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137473</v>
      </c>
      <c r="N27" s="21" t="n">
        <v>139633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131213</v>
      </c>
      <c r="T27" s="43" t="n">
        <v>132576</v>
      </c>
      <c r="U27" s="16">
        <f>M27-S27</f>
        <v/>
      </c>
      <c r="V27" s="17" t="n">
        <v>60</v>
      </c>
      <c r="W27" s="19">
        <f>T27+U27+V27</f>
        <v/>
      </c>
      <c r="AC27" s="42" t="n">
        <v>268528</v>
      </c>
      <c r="AD27" s="43" t="n">
        <v>272051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1408.68275855449</v>
      </c>
      <c r="C28" s="40" t="n">
        <v>1427.186473818665</v>
      </c>
      <c r="D28" s="51" t="n">
        <v>1426.60336380482</v>
      </c>
      <c r="E28" s="40">
        <f>(C28-B28)+C28</f>
        <v/>
      </c>
      <c r="F28" s="41">
        <f>(C28-D28)/C28</f>
        <v/>
      </c>
      <c r="G28" s="44" t="n">
        <v>42631</v>
      </c>
      <c r="H28" s="43" t="n">
        <v>43214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25835</v>
      </c>
      <c r="N28" s="21" t="n">
        <v>26179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16796</v>
      </c>
      <c r="T28" s="43" t="n">
        <v>17035</v>
      </c>
      <c r="U28" s="16">
        <f>M28-S28</f>
        <v/>
      </c>
      <c r="V28" s="17" t="n">
        <v>6</v>
      </c>
      <c r="W28" s="19">
        <f>T28+U28+V28</f>
        <v/>
      </c>
      <c r="AC28" s="42" t="n">
        <v>42600</v>
      </c>
      <c r="AD28" s="43" t="n">
        <v>43183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44.60171946762019</v>
      </c>
      <c r="C29" s="40" t="n">
        <v>45.70807320932455</v>
      </c>
      <c r="D29" s="51" t="n">
        <v>45.65758790843131</v>
      </c>
      <c r="E29" s="40">
        <f>(C29-B29)+C29</f>
        <v/>
      </c>
      <c r="F29" s="41">
        <f>(C29-D29)/C29</f>
        <v/>
      </c>
      <c r="G29" s="44" t="n">
        <v>3217</v>
      </c>
      <c r="H29" s="43" t="n">
        <v>3266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1212</v>
      </c>
      <c r="N29" s="21" t="n">
        <v>1231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2005</v>
      </c>
      <c r="T29" s="43" t="n">
        <v>2035</v>
      </c>
      <c r="U29" s="16">
        <f>M29-S29</f>
        <v/>
      </c>
      <c r="V29" s="17" t="n">
        <v>1</v>
      </c>
      <c r="W29" s="19">
        <f>T29+U29+V29</f>
        <v/>
      </c>
      <c r="AC29" s="42" t="n">
        <v>3211</v>
      </c>
      <c r="AD29" s="43" t="n">
        <v>3260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810.4122590672104</v>
      </c>
      <c r="C30" s="40" t="n">
        <v>828.5853354838582</v>
      </c>
      <c r="D30" s="51" t="n">
        <v>825.9159284155517</v>
      </c>
      <c r="E30" s="40">
        <f>(C30-B30)+C30</f>
        <v/>
      </c>
      <c r="F30" s="41">
        <f>(C30-D30)/C30</f>
        <v/>
      </c>
      <c r="G30" s="44" t="n">
        <v>79647</v>
      </c>
      <c r="H30" s="43" t="n">
        <v>80711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20368</v>
      </c>
      <c r="N30" s="21" t="n">
        <v>20710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59279</v>
      </c>
      <c r="T30" s="43" t="n">
        <v>60001</v>
      </c>
      <c r="U30" s="16">
        <f>M30-S30</f>
        <v/>
      </c>
      <c r="V30" s="17" t="n">
        <v>29</v>
      </c>
      <c r="W30" s="19">
        <f>T30+U30+V30</f>
        <v/>
      </c>
      <c r="AC30" s="42" t="n">
        <v>79614</v>
      </c>
      <c r="AD30" s="43" t="n">
        <v>80678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1631.894335192574</v>
      </c>
      <c r="C31" s="40" t="n">
        <v>1656.677811863122</v>
      </c>
      <c r="D31" s="51" t="n">
        <v>1659.327741584897</v>
      </c>
      <c r="E31" s="40">
        <f>(C31-B31)+C31</f>
        <v/>
      </c>
      <c r="F31" s="41">
        <f>(C31-D31)/C31</f>
        <v/>
      </c>
      <c r="G31" s="44" t="n">
        <v>158912</v>
      </c>
      <c r="H31" s="43" t="n">
        <v>161430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55158</v>
      </c>
      <c r="N31" s="21" t="n">
        <v>56052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103754</v>
      </c>
      <c r="T31" s="43" t="n">
        <v>105378</v>
      </c>
      <c r="U31" s="16">
        <f>M31-S31</f>
        <v/>
      </c>
      <c r="V31" s="17" t="n">
        <v>45</v>
      </c>
      <c r="W31" s="19">
        <f>T31+U31+V31</f>
        <v/>
      </c>
      <c r="AC31" s="42" t="n">
        <v>158839</v>
      </c>
      <c r="AD31" s="43" t="n">
        <v>161354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8254.918719702762</v>
      </c>
      <c r="C32" s="40" t="n">
        <v>8373.911746974012</v>
      </c>
      <c r="D32" s="51" t="n">
        <v>8377.079879750905</v>
      </c>
      <c r="E32" s="40">
        <f>(C32-B32)+C32</f>
        <v/>
      </c>
      <c r="F32" s="41">
        <f>(C32-D32)/C32</f>
        <v/>
      </c>
      <c r="G32" s="44" t="n">
        <v>321053</v>
      </c>
      <c r="H32" s="43" t="n">
        <v>326769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166705</v>
      </c>
      <c r="N32" s="21" t="n">
        <v>169560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154348</v>
      </c>
      <c r="T32" s="43" t="n">
        <v>157209</v>
      </c>
      <c r="U32" s="16">
        <f>M32-S32</f>
        <v/>
      </c>
      <c r="V32" s="17" t="n">
        <v>56</v>
      </c>
      <c r="W32" s="19">
        <f>T32+U32+V32</f>
        <v/>
      </c>
      <c r="AC32" s="42" t="n">
        <v>320895</v>
      </c>
      <c r="AD32" s="43" t="n">
        <v>326611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2017.641614141624</v>
      </c>
      <c r="C33" s="40" t="n">
        <v>2046.497267652839</v>
      </c>
      <c r="D33" s="51" t="n">
        <v>2046.833447287621</v>
      </c>
      <c r="E33" s="40">
        <f>(C33-B33)+C33</f>
        <v/>
      </c>
      <c r="F33" s="41">
        <f>(C33-D33)/C33</f>
        <v/>
      </c>
      <c r="G33" s="44" t="n">
        <v>97353</v>
      </c>
      <c r="H33" s="43" t="n">
        <v>98757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53681</v>
      </c>
      <c r="N33" s="21" t="n">
        <v>54499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43672</v>
      </c>
      <c r="T33" s="43" t="n">
        <v>44258</v>
      </c>
      <c r="U33" s="16">
        <f>M33-S33</f>
        <v/>
      </c>
      <c r="V33" s="17" t="n">
        <v>15</v>
      </c>
      <c r="W33" s="19">
        <f>T33+U33+V33</f>
        <v/>
      </c>
      <c r="AC33" s="42" t="n">
        <v>97298</v>
      </c>
      <c r="AD33" s="43" t="n">
        <v>98702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4115576.014714042</v>
      </c>
      <c r="C34" s="28" t="n">
        <v>4338343.51634229</v>
      </c>
      <c r="D34" s="53" t="n">
        <v>4347423.017997064</v>
      </c>
      <c r="E34" s="28">
        <f>(C34-B34)+C34</f>
        <v/>
      </c>
      <c r="F34" s="30">
        <f>(C34-D34)/C34</f>
        <v/>
      </c>
      <c r="G34" s="26" t="n">
        <v>45659967</v>
      </c>
      <c r="H34" s="31" t="n">
        <v>46931437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2684821</v>
      </c>
      <c r="N34" s="33" t="n">
        <v>2724653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3640590</v>
      </c>
      <c r="T34" s="31" t="n">
        <v>3684924</v>
      </c>
      <c r="U34" s="31" t="n">
        <v>240028</v>
      </c>
      <c r="V34" s="31" t="n">
        <v>1244</v>
      </c>
      <c r="W34" s="31">
        <f>T34+U34+V34</f>
        <v/>
      </c>
      <c r="X34" s="32" t="n">
        <v>39334556</v>
      </c>
      <c r="Y34" s="34" t="n">
        <v>40521860</v>
      </c>
      <c r="Z34" s="34" t="n">
        <v>4986</v>
      </c>
      <c r="AA34" s="34" t="n">
        <v>272</v>
      </c>
      <c r="AB34" s="34">
        <f>Y34+Z34+AA34</f>
        <v/>
      </c>
      <c r="AC34" s="35" t="n">
        <v>6321766</v>
      </c>
      <c r="AD34" s="31" t="n">
        <v>6405918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36167</v>
      </c>
      <c r="E39" s="17">
        <f>D39+C39</f>
        <v/>
      </c>
    </row>
    <row r="42">
      <c r="A42" s="9" t="n"/>
      <c r="B42" s="54" t="n"/>
    </row>
    <row r="44">
      <c r="A44" s="9" t="n"/>
    </row>
    <row r="45">
      <c r="A45" s="9" t="n"/>
      <c r="B45" s="54" t="n"/>
      <c r="E45" s="9" t="n"/>
    </row>
    <row r="47">
      <c r="A47" s="9" t="n"/>
      <c r="B47" s="54" t="n"/>
      <c r="E47" s="9" t="n"/>
    </row>
    <row r="49">
      <c r="A49" s="9" t="n"/>
      <c r="B49" s="54" t="n"/>
      <c r="E49" s="9" t="n"/>
    </row>
    <row r="51">
      <c r="A51" s="9" t="n"/>
      <c r="B51" s="54" t="n"/>
      <c r="E51" s="9" t="n"/>
    </row>
    <row r="53">
      <c r="A53" s="9" t="n"/>
      <c r="B53" s="54" t="n"/>
      <c r="E53" s="9" t="n"/>
    </row>
    <row r="55">
      <c r="A55" s="9" t="n"/>
      <c r="B55" s="54" t="n"/>
      <c r="E55" s="9" t="n"/>
    </row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2148.827706476083</v>
      </c>
      <c r="C3" s="40" t="n">
        <v>2184.095577105951</v>
      </c>
      <c r="D3" s="51" t="n">
        <v>2181.591092102308</v>
      </c>
      <c r="E3" s="40">
        <f>(C3-B3)+C3</f>
        <v/>
      </c>
      <c r="F3" s="41">
        <f>(C3-D3)/C3</f>
        <v/>
      </c>
      <c r="G3" s="44" t="n">
        <v>165145</v>
      </c>
      <c r="H3" s="43" t="n">
        <v>167278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75488</v>
      </c>
      <c r="N3" s="21" t="n">
        <v>76612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89657</v>
      </c>
      <c r="T3" s="43" t="n">
        <v>90666</v>
      </c>
      <c r="U3" s="16">
        <f>M3-S3</f>
        <v/>
      </c>
      <c r="V3" s="17" t="n">
        <v>36</v>
      </c>
      <c r="W3" s="19">
        <f>T3+U3+V3</f>
        <v/>
      </c>
      <c r="AC3" s="42" t="n">
        <v>165071</v>
      </c>
      <c r="AD3" s="43" t="n">
        <v>167203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94856.51253931584</v>
      </c>
      <c r="C4" s="40" t="n">
        <v>98564.32838547707</v>
      </c>
      <c r="D4" s="51" t="n">
        <v>97472.47640778939</v>
      </c>
      <c r="E4" s="40">
        <f>(C4-B4)+C4</f>
        <v/>
      </c>
      <c r="F4" s="41">
        <f>(C4-D4)/C4</f>
        <v/>
      </c>
      <c r="G4" s="44" t="n">
        <v>179243</v>
      </c>
      <c r="H4" s="43" t="n">
        <v>181256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171268</v>
      </c>
      <c r="N4" s="21" t="n">
        <v>173159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7975</v>
      </c>
      <c r="T4" s="43" t="n">
        <v>8097</v>
      </c>
      <c r="U4" s="16">
        <f>M4-S4</f>
        <v/>
      </c>
      <c r="V4" s="17" t="n">
        <v>6</v>
      </c>
      <c r="W4" s="19">
        <f>T4+U4+V4</f>
        <v/>
      </c>
      <c r="AC4" s="42" t="n">
        <v>178876</v>
      </c>
      <c r="AD4" s="43" t="n">
        <v>180890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2873.552004626843</v>
      </c>
      <c r="C5" s="40" t="n">
        <v>2921.449548963862</v>
      </c>
      <c r="D5" s="51" t="n">
        <v>2920.432801917314</v>
      </c>
      <c r="E5" s="40">
        <f>(C5-B5)+C5</f>
        <v/>
      </c>
      <c r="F5" s="41">
        <f>(C5-D5)/C5</f>
        <v/>
      </c>
      <c r="G5" s="44" t="n">
        <v>332591</v>
      </c>
      <c r="H5" s="43" t="n">
        <v>336445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100524</v>
      </c>
      <c r="N5" s="21" t="n">
        <v>101652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232067</v>
      </c>
      <c r="T5" s="43" t="n">
        <v>234793</v>
      </c>
      <c r="U5" s="16">
        <f>M5-S5</f>
        <v/>
      </c>
      <c r="V5" s="17" t="n">
        <v>38</v>
      </c>
      <c r="W5" s="19">
        <f>T5+U5+V5</f>
        <v/>
      </c>
      <c r="AC5" s="42" t="n">
        <v>332473</v>
      </c>
      <c r="AD5" s="43" t="n">
        <v>336326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460.5837645457505</v>
      </c>
      <c r="C6" s="40" t="n">
        <v>470.769549834391</v>
      </c>
      <c r="D6" s="51" t="n">
        <v>469.6709637781847</v>
      </c>
      <c r="E6" s="40">
        <f>(C6-B6)+C6</f>
        <v/>
      </c>
      <c r="F6" s="41">
        <f>(C6-D6)/C6</f>
        <v/>
      </c>
      <c r="G6" s="25" t="n">
        <v>55128</v>
      </c>
      <c r="H6" s="21" t="n">
        <v>55787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21290</v>
      </c>
      <c r="N6" s="21" t="n">
        <v>21579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33838</v>
      </c>
      <c r="T6" s="43" t="n">
        <v>34208</v>
      </c>
      <c r="U6" s="16">
        <f>M6-S6</f>
        <v/>
      </c>
      <c r="V6" s="17" t="n">
        <v>4</v>
      </c>
      <c r="W6" s="19">
        <f>T6+U6+V6</f>
        <v/>
      </c>
      <c r="AC6" s="25" t="n">
        <v>55111</v>
      </c>
      <c r="AD6" s="21" t="n">
        <v>55769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14310.58188617743</v>
      </c>
      <c r="C7" s="40" t="n">
        <v>14560.52332124865</v>
      </c>
      <c r="D7" s="51" t="n">
        <v>14557.49982563949</v>
      </c>
      <c r="E7" s="40">
        <f>(C7-B7)+C7</f>
        <v/>
      </c>
      <c r="F7" s="41">
        <f>(C7-D7)/C7</f>
        <v/>
      </c>
      <c r="G7" s="44" t="n">
        <v>773682</v>
      </c>
      <c r="H7" s="43" t="n">
        <v>785303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406808</v>
      </c>
      <c r="N7" s="21" t="n">
        <v>413568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366874</v>
      </c>
      <c r="T7" s="43" t="n">
        <v>371735</v>
      </c>
      <c r="U7" s="16">
        <f>M7-S7</f>
        <v/>
      </c>
      <c r="V7" s="17" t="n">
        <v>96</v>
      </c>
      <c r="W7" s="19">
        <f>T7+U7+V7</f>
        <v/>
      </c>
      <c r="AC7" s="42" t="n">
        <v>773232</v>
      </c>
      <c r="AD7" s="43" t="n">
        <v>784854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1684.298575270651</v>
      </c>
      <c r="C8" s="40" t="n">
        <v>1712.487781737304</v>
      </c>
      <c r="D8" s="51" t="n">
        <v>1711.512304664783</v>
      </c>
      <c r="E8" s="40">
        <f>(C8-B8)+C8</f>
        <v/>
      </c>
      <c r="F8" s="41">
        <f>(C8-D8)/C8</f>
        <v/>
      </c>
      <c r="G8" s="44" t="n">
        <v>134169</v>
      </c>
      <c r="H8" s="43" t="n">
        <v>135983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54978</v>
      </c>
      <c r="N8" s="21" t="n">
        <v>55666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79191</v>
      </c>
      <c r="T8" s="43" t="n">
        <v>80317</v>
      </c>
      <c r="U8" s="16">
        <f>M8-S8</f>
        <v/>
      </c>
      <c r="V8" s="17" t="n">
        <v>23</v>
      </c>
      <c r="W8" s="19">
        <f>T8+U8+V8</f>
        <v/>
      </c>
      <c r="AC8" s="42" t="n">
        <v>134102</v>
      </c>
      <c r="AD8" s="43" t="n">
        <v>135916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2628.312532507106</v>
      </c>
      <c r="C9" s="40" t="n">
        <v>2645.13621180852</v>
      </c>
      <c r="D9" s="51" t="n">
        <v>2642.946773451016</v>
      </c>
      <c r="E9" s="40">
        <f>(C9-B9)+C9</f>
        <v/>
      </c>
      <c r="F9" s="41">
        <f>(C9-D9)/C9</f>
        <v/>
      </c>
      <c r="G9" s="44" t="n">
        <v>91901</v>
      </c>
      <c r="H9" s="43" t="n">
        <v>93155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41064</v>
      </c>
      <c r="N9" s="21" t="n">
        <v>41587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50837</v>
      </c>
      <c r="T9" s="43" t="n">
        <v>51568</v>
      </c>
      <c r="U9" s="16">
        <f>M9-S9</f>
        <v/>
      </c>
      <c r="V9" s="17" t="n">
        <v>27</v>
      </c>
      <c r="W9" s="19">
        <f>T9+U9+V9</f>
        <v/>
      </c>
      <c r="AC9" s="42" t="n">
        <v>91863</v>
      </c>
      <c r="AD9" s="43" t="n">
        <v>93117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2853.36570188151</v>
      </c>
      <c r="C10" s="40" t="n">
        <v>2900.332998813709</v>
      </c>
      <c r="D10" s="51" t="n">
        <v>2895.743204140987</v>
      </c>
      <c r="E10" s="40">
        <f>(C10-B10)+C10</f>
        <v/>
      </c>
      <c r="F10" s="41">
        <f>(C10-D10)/C10</f>
        <v/>
      </c>
      <c r="G10" s="44" t="n">
        <v>223246</v>
      </c>
      <c r="H10" s="43" t="n">
        <v>224882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38682</v>
      </c>
      <c r="N10" s="21" t="n">
        <v>39264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184564</v>
      </c>
      <c r="T10" s="43" t="n">
        <v>185618</v>
      </c>
      <c r="U10" s="16">
        <f>M10-S10</f>
        <v/>
      </c>
      <c r="V10" s="17" t="n">
        <v>44</v>
      </c>
      <c r="W10" s="19">
        <f>T10+U10+V10</f>
        <v/>
      </c>
      <c r="AC10" s="42" t="n">
        <v>223223</v>
      </c>
      <c r="AD10" s="43" t="n">
        <v>224859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1636.569601380151</v>
      </c>
      <c r="C11" s="40" t="n">
        <v>1670.667339509283</v>
      </c>
      <c r="D11" s="51" t="n">
        <v>1670.704794543847</v>
      </c>
      <c r="E11" s="40">
        <f>(C11-B11)+C11</f>
        <v/>
      </c>
      <c r="F11" s="41">
        <f>(C11-D11)/C11</f>
        <v/>
      </c>
      <c r="G11" s="44" t="n">
        <v>196116</v>
      </c>
      <c r="H11" s="43" t="n">
        <v>198826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72318</v>
      </c>
      <c r="N11" s="21" t="n">
        <v>73471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123798</v>
      </c>
      <c r="T11" s="43" t="n">
        <v>125355</v>
      </c>
      <c r="U11" s="16">
        <f>M11-S11</f>
        <v/>
      </c>
      <c r="V11" s="17" t="n">
        <v>53</v>
      </c>
      <c r="W11" s="19">
        <f>T11+U11+V11</f>
        <v/>
      </c>
      <c r="AC11" s="42" t="n">
        <v>196040</v>
      </c>
      <c r="AD11" s="43" t="n">
        <v>198749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2985.922339355216</v>
      </c>
      <c r="C12" s="40" t="n">
        <v>3038.170470932497</v>
      </c>
      <c r="D12" s="51" t="n">
        <v>3040.538147627148</v>
      </c>
      <c r="E12" s="40">
        <f>(C12-B12)+C12</f>
        <v/>
      </c>
      <c r="F12" s="41">
        <f>(C12-D12)/C12</f>
        <v/>
      </c>
      <c r="G12" s="44" t="n">
        <v>296659</v>
      </c>
      <c r="H12" s="43" t="n">
        <v>301283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116749</v>
      </c>
      <c r="N12" s="21" t="n">
        <v>118391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179910</v>
      </c>
      <c r="T12" s="43" t="n">
        <v>182892</v>
      </c>
      <c r="U12" s="16">
        <f>M12-S12</f>
        <v/>
      </c>
      <c r="V12" s="17" t="n">
        <v>64</v>
      </c>
      <c r="W12" s="19">
        <f>T12+U12+V12</f>
        <v/>
      </c>
      <c r="AC12" s="42" t="n">
        <v>296515</v>
      </c>
      <c r="AD12" s="43" t="n">
        <v>301138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853.7913817974277</v>
      </c>
      <c r="C13" s="40" t="n">
        <v>871.7350067822065</v>
      </c>
      <c r="D13" s="51" t="n">
        <v>870.1103809655178</v>
      </c>
      <c r="E13" s="40">
        <f>(C13-B13)+C13</f>
        <v/>
      </c>
      <c r="F13" s="41">
        <f>(C13-D13)/C13</f>
        <v/>
      </c>
      <c r="G13" s="44" t="n">
        <v>76259</v>
      </c>
      <c r="H13" s="43" t="n">
        <v>77482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21320</v>
      </c>
      <c r="N13" s="21" t="n">
        <v>21610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54939</v>
      </c>
      <c r="T13" s="43" t="n">
        <v>55872</v>
      </c>
      <c r="U13" s="16">
        <f>M13-S13</f>
        <v/>
      </c>
      <c r="V13" s="17" t="n">
        <v>36</v>
      </c>
      <c r="W13" s="19">
        <f>T13+U13+V13</f>
        <v/>
      </c>
      <c r="AC13" s="42" t="n">
        <v>76224</v>
      </c>
      <c r="AD13" s="43" t="n">
        <v>77447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3682.383827006646</v>
      </c>
      <c r="C14" s="40" t="n">
        <v>3746.18875740107</v>
      </c>
      <c r="D14" s="51" t="n">
        <v>3745.904131054486</v>
      </c>
      <c r="E14" s="40">
        <f>(C14-B14)+C14</f>
        <v/>
      </c>
      <c r="F14" s="41">
        <f>(C14-D14)/C14</f>
        <v/>
      </c>
      <c r="G14" s="44" t="n">
        <v>254915</v>
      </c>
      <c r="H14" s="43" t="n">
        <v>258854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89091</v>
      </c>
      <c r="N14" s="21" t="n">
        <v>90525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165824</v>
      </c>
      <c r="T14" s="43" t="n">
        <v>168329</v>
      </c>
      <c r="U14" s="16">
        <f>M14-S14</f>
        <v/>
      </c>
      <c r="V14" s="17" t="n">
        <v>50</v>
      </c>
      <c r="W14" s="19">
        <f>T14+U14+V14</f>
        <v/>
      </c>
      <c r="AC14" s="42" t="n">
        <v>254807</v>
      </c>
      <c r="AD14" s="43" t="n">
        <v>258744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2835.289001488414</v>
      </c>
      <c r="C15" s="40" t="n">
        <v>2893.093000939126</v>
      </c>
      <c r="D15" s="51" t="n">
        <v>2886.368756744195</v>
      </c>
      <c r="E15" s="40">
        <f>(C15-B15)+C15</f>
        <v/>
      </c>
      <c r="F15" s="41">
        <f>(C15-D15)/C15</f>
        <v/>
      </c>
      <c r="G15" s="44" t="n">
        <v>245644</v>
      </c>
      <c r="H15" s="43" t="n">
        <v>249793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82869</v>
      </c>
      <c r="N15" s="21" t="n">
        <v>84018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162775</v>
      </c>
      <c r="T15" s="43" t="n">
        <v>165775</v>
      </c>
      <c r="U15" s="16">
        <f>M15-S15</f>
        <v/>
      </c>
      <c r="V15" s="17" t="n">
        <v>53</v>
      </c>
      <c r="W15" s="19">
        <f>T15+U15+V15</f>
        <v/>
      </c>
      <c r="AC15" s="42" t="n">
        <v>245528</v>
      </c>
      <c r="AD15" s="43" t="n">
        <v>249675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501.2131743035946</v>
      </c>
      <c r="C16" s="40" t="n">
        <v>510.3170654730069</v>
      </c>
      <c r="D16" s="51" t="n">
        <v>510.5437493968372</v>
      </c>
      <c r="E16" s="40">
        <f>(C16-B16)+C16</f>
        <v/>
      </c>
      <c r="F16" s="41">
        <f>(C16-D16)/C16</f>
        <v/>
      </c>
      <c r="G16" s="44" t="n">
        <v>70577</v>
      </c>
      <c r="H16" s="43" t="n">
        <v>71309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19895</v>
      </c>
      <c r="N16" s="21" t="n">
        <v>20158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50682</v>
      </c>
      <c r="T16" s="43" t="n">
        <v>51151</v>
      </c>
      <c r="U16" s="16">
        <f>M16-S16</f>
        <v/>
      </c>
      <c r="V16" s="17" t="n">
        <v>11</v>
      </c>
      <c r="W16" s="19">
        <f>T16+U16+V16</f>
        <v/>
      </c>
      <c r="AC16" s="42" t="n">
        <v>70557</v>
      </c>
      <c r="AD16" s="43" t="n">
        <v>71289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4713.486669644992</v>
      </c>
      <c r="C17" s="40" t="n">
        <v>4794.702584605134</v>
      </c>
      <c r="D17" s="51" t="n">
        <v>4793.013919550305</v>
      </c>
      <c r="E17" s="40">
        <f>(C17-B17)+C17</f>
        <v/>
      </c>
      <c r="F17" s="41">
        <f>(C17-D17)/C17</f>
        <v/>
      </c>
      <c r="G17" s="44" t="n">
        <v>301807</v>
      </c>
      <c r="H17" s="43" t="n">
        <v>305417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149313</v>
      </c>
      <c r="N17" s="21" t="n">
        <v>151389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152494</v>
      </c>
      <c r="T17" s="43" t="n">
        <v>154028</v>
      </c>
      <c r="U17" s="16">
        <f>M17-S17</f>
        <v/>
      </c>
      <c r="V17" s="17" t="n">
        <v>147</v>
      </c>
      <c r="W17" s="19">
        <f>T17+U17+V17</f>
        <v/>
      </c>
      <c r="AC17" s="42" t="n">
        <v>301668</v>
      </c>
      <c r="AD17" s="43" t="n">
        <v>305278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1573.098595564454</v>
      </c>
      <c r="C18" s="40" t="n">
        <v>1602.219271620725</v>
      </c>
      <c r="D18" s="51" t="n">
        <v>1598.335600547027</v>
      </c>
      <c r="E18" s="40">
        <f>(C18-B18)+C18</f>
        <v/>
      </c>
      <c r="F18" s="41">
        <f>(C18-D18)/C18</f>
        <v/>
      </c>
      <c r="G18" s="44" t="n">
        <v>280557</v>
      </c>
      <c r="H18" s="43" t="n">
        <v>281932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37031</v>
      </c>
      <c r="N18" s="21" t="n">
        <v>37607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243526</v>
      </c>
      <c r="T18" s="43" t="n">
        <v>244325</v>
      </c>
      <c r="U18" s="16">
        <f>M18-S18</f>
        <v/>
      </c>
      <c r="V18" s="17" t="n">
        <v>28</v>
      </c>
      <c r="W18" s="19">
        <f>T18+U18+V18</f>
        <v/>
      </c>
      <c r="AC18" s="42" t="n">
        <v>280451</v>
      </c>
      <c r="AD18" s="43" t="n">
        <v>281824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1571.028225165438</v>
      </c>
      <c r="C19" s="40" t="n">
        <v>1598.77057204076</v>
      </c>
      <c r="D19" s="51" t="n">
        <v>1596.660676837608</v>
      </c>
      <c r="E19" s="40">
        <f>(C19-B19)+C19</f>
        <v/>
      </c>
      <c r="F19" s="41">
        <f>(C19-D19)/C19</f>
        <v/>
      </c>
      <c r="G19" s="44" t="n">
        <v>120906</v>
      </c>
      <c r="H19" s="43" t="n">
        <v>122788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41988</v>
      </c>
      <c r="N19" s="21" t="n">
        <v>42641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78918</v>
      </c>
      <c r="T19" s="43" t="n">
        <v>80147</v>
      </c>
      <c r="U19" s="16">
        <f>M19-S19</f>
        <v/>
      </c>
      <c r="V19" s="17" t="n">
        <v>60</v>
      </c>
      <c r="W19" s="19">
        <f>T19+U19+V19</f>
        <v/>
      </c>
      <c r="AC19" s="42" t="n">
        <v>120832</v>
      </c>
      <c r="AD19" s="43" t="n">
        <v>122714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617.7702205667136</v>
      </c>
      <c r="C20" s="40" t="n">
        <v>630.8884846588205</v>
      </c>
      <c r="D20" s="51" t="n">
        <v>630.7500591582767</v>
      </c>
      <c r="E20" s="40">
        <f>(C20-B20)+C20</f>
        <v/>
      </c>
      <c r="F20" s="41">
        <f>(C20-D20)/C20</f>
        <v/>
      </c>
      <c r="G20" s="44" t="n">
        <v>74455</v>
      </c>
      <c r="H20" s="43" t="n">
        <v>75347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22113</v>
      </c>
      <c r="N20" s="21" t="n">
        <v>22454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52342</v>
      </c>
      <c r="T20" s="43" t="n">
        <v>52893</v>
      </c>
      <c r="U20" s="16">
        <f>M20-S20</f>
        <v/>
      </c>
      <c r="V20" s="17" t="n">
        <v>24</v>
      </c>
      <c r="W20" s="19">
        <f>T20+U20+V20</f>
        <v/>
      </c>
      <c r="AC20" s="42" t="n">
        <v>74402</v>
      </c>
      <c r="AD20" s="43" t="n">
        <v>75294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219.1471072729819</v>
      </c>
      <c r="C21" s="40" t="n">
        <v>225.0761733267155</v>
      </c>
      <c r="D21" s="51" t="n">
        <v>223.1543557682512</v>
      </c>
      <c r="E21" s="40">
        <f>(C21-B21)+C21</f>
        <v/>
      </c>
      <c r="F21" s="41">
        <f>(C21-D21)/C21</f>
        <v/>
      </c>
      <c r="G21" s="25" t="n">
        <v>21981</v>
      </c>
      <c r="H21" s="21" t="n">
        <v>22304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9102</v>
      </c>
      <c r="N21" s="21" t="n">
        <v>9257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12879</v>
      </c>
      <c r="T21" s="43" t="n">
        <v>13047</v>
      </c>
      <c r="U21" s="16">
        <f>M21-S21</f>
        <v/>
      </c>
      <c r="V21" s="17" t="n">
        <v>25</v>
      </c>
      <c r="W21" s="19">
        <f>T21+U21+V21</f>
        <v/>
      </c>
      <c r="AC21" s="25" t="n">
        <v>21968</v>
      </c>
      <c r="AD21" s="21" t="n">
        <v>22291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118.773819634203</v>
      </c>
      <c r="C22" s="40" t="n">
        <v>122.5908382832192</v>
      </c>
      <c r="D22" s="51" t="n">
        <v>121.6450105984859</v>
      </c>
      <c r="E22" s="40">
        <f>(C22-B22)+C22</f>
        <v/>
      </c>
      <c r="F22" s="41">
        <f>(C22-D22)/C22</f>
        <v/>
      </c>
      <c r="G22" s="44" t="n">
        <v>10778</v>
      </c>
      <c r="H22" s="43" t="n">
        <v>10966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4125</v>
      </c>
      <c r="N22" s="21" t="n">
        <v>4208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6653</v>
      </c>
      <c r="T22" s="43" t="n">
        <v>6758</v>
      </c>
      <c r="U22" s="16">
        <f>M22-S22</f>
        <v/>
      </c>
      <c r="V22" s="17" t="n">
        <v>6</v>
      </c>
      <c r="W22" s="19">
        <f>T22+U22+V22</f>
        <v/>
      </c>
      <c r="AC22" s="42" t="n">
        <v>10761</v>
      </c>
      <c r="AD22" s="43" t="n">
        <v>10949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3465.781071120112</v>
      </c>
      <c r="C23" s="40" t="n">
        <v>3537.808122464755</v>
      </c>
      <c r="D23" s="51" t="n">
        <v>3533.934325440845</v>
      </c>
      <c r="E23" s="40">
        <f>(C23-B23)+C23</f>
        <v/>
      </c>
      <c r="F23" s="41">
        <f>(C23-D23)/C23</f>
        <v/>
      </c>
      <c r="G23" s="44" t="n">
        <v>390414</v>
      </c>
      <c r="H23" s="43" t="n">
        <v>394315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160465</v>
      </c>
      <c r="N23" s="21" t="n">
        <v>162376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229949</v>
      </c>
      <c r="T23" s="43" t="n">
        <v>231939</v>
      </c>
      <c r="U23" s="16">
        <f>M23-S23</f>
        <v/>
      </c>
      <c r="V23" s="17" t="n">
        <v>55</v>
      </c>
      <c r="W23" s="19">
        <f>T23+U23+V23</f>
        <v/>
      </c>
      <c r="AC23" s="42" t="n">
        <v>390303</v>
      </c>
      <c r="AD23" s="43" t="n">
        <v>394204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833.6040924054017</v>
      </c>
      <c r="C24" s="40" t="n">
        <v>851.6668169479408</v>
      </c>
      <c r="D24" s="51" t="n">
        <v>849.6519284715789</v>
      </c>
      <c r="E24" s="40">
        <f>(C24-B24)+C24</f>
        <v/>
      </c>
      <c r="F24" s="41">
        <f>(C24-D24)/C24</f>
        <v/>
      </c>
      <c r="G24" s="44" t="n">
        <v>94826</v>
      </c>
      <c r="H24" s="43" t="n">
        <v>95991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36754</v>
      </c>
      <c r="N24" s="21" t="n">
        <v>37256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58072</v>
      </c>
      <c r="T24" s="43" t="n">
        <v>58735</v>
      </c>
      <c r="U24" s="16">
        <f>M24-S24</f>
        <v/>
      </c>
      <c r="V24" s="17" t="n">
        <v>19</v>
      </c>
      <c r="W24" s="19">
        <f>T24+U24+V24</f>
        <v/>
      </c>
      <c r="AC24" s="42" t="n">
        <v>94786</v>
      </c>
      <c r="AD24" s="43" t="n">
        <v>95950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1067.69038828039</v>
      </c>
      <c r="C25" s="40" t="n">
        <v>1089.16585359118</v>
      </c>
      <c r="D25" s="51" t="n">
        <v>1086.891913882465</v>
      </c>
      <c r="E25" s="40">
        <f>(C25-B25)+C25</f>
        <v/>
      </c>
      <c r="F25" s="41">
        <f>(C25-D25)/C25</f>
        <v/>
      </c>
      <c r="G25" s="44" t="n">
        <v>144773</v>
      </c>
      <c r="H25" s="43" t="n">
        <v>145921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38715</v>
      </c>
      <c r="N25" s="21" t="n">
        <v>39242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106058</v>
      </c>
      <c r="T25" s="43" t="n">
        <v>106679</v>
      </c>
      <c r="U25" s="16">
        <f>M25-S25</f>
        <v/>
      </c>
      <c r="V25" s="17" t="n">
        <v>20</v>
      </c>
      <c r="W25" s="19">
        <f>T25+U25+V25</f>
        <v/>
      </c>
      <c r="AC25" s="42" t="n">
        <v>144738</v>
      </c>
      <c r="AD25" s="43" t="n">
        <v>145886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8862.706017052711</v>
      </c>
      <c r="C26" s="40" t="n">
        <v>9043.852380862991</v>
      </c>
      <c r="D26" s="51" t="n">
        <v>9023.808393396346</v>
      </c>
      <c r="E26" s="40">
        <f>(C26-B26)+C26</f>
        <v/>
      </c>
      <c r="F26" s="41">
        <f>(C26-D26)/C26</f>
        <v/>
      </c>
      <c r="G26" s="44" t="n">
        <v>160558</v>
      </c>
      <c r="H26" s="43" t="n">
        <v>162442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147509</v>
      </c>
      <c r="N26" s="21" t="n">
        <v>149258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13049</v>
      </c>
      <c r="T26" s="43" t="n">
        <v>13184</v>
      </c>
      <c r="U26" s="16">
        <f>M26-S26</f>
        <v/>
      </c>
      <c r="V26" s="17" t="n">
        <v>9</v>
      </c>
      <c r="W26" s="19">
        <f>T26+U26+V26</f>
        <v/>
      </c>
      <c r="AC26" s="42" t="n">
        <v>160384</v>
      </c>
      <c r="AD26" s="43" t="n">
        <v>162270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4338.900703612503</v>
      </c>
      <c r="C27" s="40" t="n">
        <v>4412.059459860669</v>
      </c>
      <c r="D27" s="51" t="n">
        <v>4407.798504143946</v>
      </c>
      <c r="E27" s="40">
        <f>(C27-B27)+C27</f>
        <v/>
      </c>
      <c r="F27" s="41">
        <f>(C27-D27)/C27</f>
        <v/>
      </c>
      <c r="G27" s="44" t="n">
        <v>272209</v>
      </c>
      <c r="H27" s="43" t="n">
        <v>275641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139633</v>
      </c>
      <c r="N27" s="21" t="n">
        <v>141701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132576</v>
      </c>
      <c r="T27" s="43" t="n">
        <v>133940</v>
      </c>
      <c r="U27" s="16">
        <f>M27-S27</f>
        <v/>
      </c>
      <c r="V27" s="17" t="n">
        <v>60</v>
      </c>
      <c r="W27" s="19">
        <f>T27+U27+V27</f>
        <v/>
      </c>
      <c r="AC27" s="42" t="n">
        <v>272051</v>
      </c>
      <c r="AD27" s="43" t="n">
        <v>275483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1427.186473818665</v>
      </c>
      <c r="C28" s="40" t="n">
        <v>1445.643241104832</v>
      </c>
      <c r="D28" s="51" t="n">
        <v>1445.690189082841</v>
      </c>
      <c r="E28" s="40">
        <f>(C28-B28)+C28</f>
        <v/>
      </c>
      <c r="F28" s="41">
        <f>(C28-D28)/C28</f>
        <v/>
      </c>
      <c r="G28" s="44" t="n">
        <v>43214</v>
      </c>
      <c r="H28" s="43" t="n">
        <v>43866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26179</v>
      </c>
      <c r="N28" s="21" t="n">
        <v>26563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17035</v>
      </c>
      <c r="T28" s="43" t="n">
        <v>17303</v>
      </c>
      <c r="U28" s="16">
        <f>M28-S28</f>
        <v/>
      </c>
      <c r="V28" s="17" t="n">
        <v>6</v>
      </c>
      <c r="W28" s="19">
        <f>T28+U28+V28</f>
        <v/>
      </c>
      <c r="AC28" s="42" t="n">
        <v>43183</v>
      </c>
      <c r="AD28" s="43" t="n">
        <v>43835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45.70807320932455</v>
      </c>
      <c r="C29" s="40" t="n">
        <v>46.99943747691125</v>
      </c>
      <c r="D29" s="51" t="n">
        <v>46.8144269510289</v>
      </c>
      <c r="E29" s="40">
        <f>(C29-B29)+C29</f>
        <v/>
      </c>
      <c r="F29" s="41">
        <f>(C29-D29)/C29</f>
        <v/>
      </c>
      <c r="G29" s="44" t="n">
        <v>3266</v>
      </c>
      <c r="H29" s="43" t="n">
        <v>3317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1231</v>
      </c>
      <c r="N29" s="21" t="n">
        <v>1244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2035</v>
      </c>
      <c r="T29" s="43" t="n">
        <v>2073</v>
      </c>
      <c r="U29" s="16">
        <f>M29-S29</f>
        <v/>
      </c>
      <c r="V29" s="17" t="n">
        <v>1</v>
      </c>
      <c r="W29" s="19">
        <f>T29+U29+V29</f>
        <v/>
      </c>
      <c r="AC29" s="42" t="n">
        <v>3260</v>
      </c>
      <c r="AD29" s="43" t="n">
        <v>3311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828.5853354838582</v>
      </c>
      <c r="C30" s="40" t="n">
        <v>848.7035055255136</v>
      </c>
      <c r="D30" s="51" t="n">
        <v>846.7584119005061</v>
      </c>
      <c r="E30" s="40">
        <f>(C30-B30)+C30</f>
        <v/>
      </c>
      <c r="F30" s="41">
        <f>(C30-D30)/C30</f>
        <v/>
      </c>
      <c r="G30" s="44" t="n">
        <v>80711</v>
      </c>
      <c r="H30" s="43" t="n">
        <v>81746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20710</v>
      </c>
      <c r="N30" s="21" t="n">
        <v>21005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60001</v>
      </c>
      <c r="T30" s="43" t="n">
        <v>60741</v>
      </c>
      <c r="U30" s="16">
        <f>M30-S30</f>
        <v/>
      </c>
      <c r="V30" s="17" t="n">
        <v>29</v>
      </c>
      <c r="W30" s="19">
        <f>T30+U30+V30</f>
        <v/>
      </c>
      <c r="AC30" s="42" t="n">
        <v>80678</v>
      </c>
      <c r="AD30" s="43" t="n">
        <v>81713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1656.677811863122</v>
      </c>
      <c r="C31" s="40" t="n">
        <v>1685.153552484291</v>
      </c>
      <c r="D31" s="51" t="n">
        <v>1681.46128853367</v>
      </c>
      <c r="E31" s="40">
        <f>(C31-B31)+C31</f>
        <v/>
      </c>
      <c r="F31" s="41">
        <f>(C31-D31)/C31</f>
        <v/>
      </c>
      <c r="G31" s="44" t="n">
        <v>161430</v>
      </c>
      <c r="H31" s="43" t="n">
        <v>163637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56052</v>
      </c>
      <c r="N31" s="21" t="n">
        <v>56790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105378</v>
      </c>
      <c r="T31" s="43" t="n">
        <v>106847</v>
      </c>
      <c r="U31" s="16">
        <f>M31-S31</f>
        <v/>
      </c>
      <c r="V31" s="17" t="n">
        <v>45</v>
      </c>
      <c r="W31" s="19">
        <f>T31+U31+V31</f>
        <v/>
      </c>
      <c r="AC31" s="42" t="n">
        <v>161354</v>
      </c>
      <c r="AD31" s="43" t="n">
        <v>163561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8373.911746974012</v>
      </c>
      <c r="C32" s="40" t="n">
        <v>8499.399750000866</v>
      </c>
      <c r="D32" s="51" t="n">
        <v>8492.904774245262</v>
      </c>
      <c r="E32" s="40">
        <f>(C32-B32)+C32</f>
        <v/>
      </c>
      <c r="F32" s="41">
        <f>(C32-D32)/C32</f>
        <v/>
      </c>
      <c r="G32" s="44" t="n">
        <v>326769</v>
      </c>
      <c r="H32" s="43" t="n">
        <v>331647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169560</v>
      </c>
      <c r="N32" s="21" t="n">
        <v>172282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157209</v>
      </c>
      <c r="T32" s="43" t="n">
        <v>159365</v>
      </c>
      <c r="U32" s="16">
        <f>M32-S32</f>
        <v/>
      </c>
      <c r="V32" s="17" t="n">
        <v>56</v>
      </c>
      <c r="W32" s="19">
        <f>T32+U32+V32</f>
        <v/>
      </c>
      <c r="AC32" s="42" t="n">
        <v>326611</v>
      </c>
      <c r="AD32" s="43" t="n">
        <v>331489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2046.497267652839</v>
      </c>
      <c r="C33" s="40" t="n">
        <v>2076.84338997607</v>
      </c>
      <c r="D33" s="51" t="n">
        <v>2075.352921164054</v>
      </c>
      <c r="E33" s="40">
        <f>(C33-B33)+C33</f>
        <v/>
      </c>
      <c r="F33" s="41">
        <f>(C33-D33)/C33</f>
        <v/>
      </c>
      <c r="G33" s="44" t="n">
        <v>98757</v>
      </c>
      <c r="H33" s="43" t="n">
        <v>100178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54499</v>
      </c>
      <c r="N33" s="21" t="n">
        <v>55308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44258</v>
      </c>
      <c r="T33" s="43" t="n">
        <v>44870</v>
      </c>
      <c r="U33" s="16">
        <f>M33-S33</f>
        <v/>
      </c>
      <c r="V33" s="17" t="n">
        <v>15</v>
      </c>
      <c r="W33" s="19">
        <f>T33+U33+V33</f>
        <v/>
      </c>
      <c r="AC33" s="42" t="n">
        <v>98702</v>
      </c>
      <c r="AD33" s="43" t="n">
        <v>100122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4338343.51634229</v>
      </c>
      <c r="C34" s="28" t="n">
        <v>4570580.650798637</v>
      </c>
      <c r="D34" s="53" t="n">
        <v>4561111.017970538</v>
      </c>
      <c r="E34" s="28">
        <f>(C34-B34)+C34</f>
        <v/>
      </c>
      <c r="F34" s="30">
        <f>(C34-D34)/C34</f>
        <v/>
      </c>
      <c r="G34" s="26" t="n">
        <v>46931437</v>
      </c>
      <c r="H34" s="31" t="n">
        <v>48171128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2724653</v>
      </c>
      <c r="N34" s="33" t="n">
        <v>2762506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3684924</v>
      </c>
      <c r="T34" s="31" t="n">
        <v>3726488</v>
      </c>
      <c r="U34" s="31" t="n">
        <v>240028</v>
      </c>
      <c r="V34" s="31" t="n">
        <v>1244</v>
      </c>
      <c r="W34" s="31">
        <f>T34+U34+V34</f>
        <v/>
      </c>
      <c r="X34" s="32" t="n">
        <v>40521860</v>
      </c>
      <c r="Y34" s="34" t="n">
        <v>41682134</v>
      </c>
      <c r="Z34" s="34" t="n">
        <v>4986</v>
      </c>
      <c r="AA34" s="34" t="n">
        <v>272</v>
      </c>
      <c r="AB34" s="34">
        <f>Y34+Z34+AA34</f>
        <v/>
      </c>
      <c r="AC34" s="35" t="n">
        <v>6405918</v>
      </c>
      <c r="AD34" s="31" t="n">
        <v>6485324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36612</v>
      </c>
      <c r="E39" s="17">
        <f>D39+C39</f>
        <v/>
      </c>
    </row>
    <row r="42">
      <c r="A42" s="9" t="n"/>
      <c r="B42" s="54" t="n"/>
    </row>
    <row r="44">
      <c r="A44" s="9" t="n"/>
    </row>
    <row r="45">
      <c r="A45" s="9" t="n"/>
      <c r="B45" s="54" t="n"/>
      <c r="E45" s="9" t="n"/>
    </row>
    <row r="47">
      <c r="A47" s="9" t="n"/>
      <c r="B47" s="54" t="n"/>
      <c r="E47" s="9" t="n"/>
    </row>
    <row r="49">
      <c r="A49" s="9" t="n"/>
      <c r="B49" s="54" t="n"/>
      <c r="E49" s="9" t="n"/>
    </row>
    <row r="51">
      <c r="A51" s="9" t="n"/>
      <c r="B51" s="54" t="n"/>
      <c r="E51" s="9" t="n"/>
    </row>
    <row r="53">
      <c r="A53" s="9" t="n"/>
      <c r="B53" s="54" t="n"/>
      <c r="E53" s="9" t="n"/>
    </row>
    <row r="55">
      <c r="A55" s="9" t="n"/>
      <c r="B55" s="54" t="n"/>
      <c r="E55" s="9" t="n"/>
    </row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2184.095577105951</v>
      </c>
      <c r="C3" s="40" t="n">
        <v>2219.457809490601</v>
      </c>
      <c r="D3" s="51" t="n">
        <v>2219.36344773582</v>
      </c>
      <c r="E3" s="40">
        <f>(C3-B3)+C3</f>
        <v/>
      </c>
      <c r="F3" s="41">
        <f>(C3-D3)/C3</f>
        <v/>
      </c>
      <c r="G3" s="44" t="n">
        <v>167278</v>
      </c>
      <c r="H3" s="43" t="n">
        <v>169435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76612</v>
      </c>
      <c r="N3" s="21" t="n">
        <v>77716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90666</v>
      </c>
      <c r="T3" s="43" t="n">
        <v>91719</v>
      </c>
      <c r="U3" s="16">
        <f>M3-S3</f>
        <v/>
      </c>
      <c r="V3" s="17" t="n">
        <v>36</v>
      </c>
      <c r="W3" s="19">
        <f>T3+U3+V3</f>
        <v/>
      </c>
      <c r="AC3" s="42" t="n">
        <v>167203</v>
      </c>
      <c r="AD3" s="43" t="n">
        <v>169359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98564.32838547707</v>
      </c>
      <c r="C4" s="40" t="n">
        <v>102436.1737397738</v>
      </c>
      <c r="D4" s="51" t="n">
        <v>102272.1442316383</v>
      </c>
      <c r="E4" s="40">
        <f>(C4-B4)+C4</f>
        <v/>
      </c>
      <c r="F4" s="41">
        <f>(C4-D4)/C4</f>
        <v/>
      </c>
      <c r="G4" s="44" t="n">
        <v>181256</v>
      </c>
      <c r="H4" s="43" t="n">
        <v>183481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173159</v>
      </c>
      <c r="N4" s="21" t="n">
        <v>175262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8097</v>
      </c>
      <c r="T4" s="43" t="n">
        <v>8219</v>
      </c>
      <c r="U4" s="16">
        <f>M4-S4</f>
        <v/>
      </c>
      <c r="V4" s="17" t="n">
        <v>6</v>
      </c>
      <c r="W4" s="19">
        <f>T4+U4+V4</f>
        <v/>
      </c>
      <c r="AC4" s="42" t="n">
        <v>180890</v>
      </c>
      <c r="AD4" s="43" t="n">
        <v>183114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2921.449548963862</v>
      </c>
      <c r="C5" s="40" t="n">
        <v>2972.894509887649</v>
      </c>
      <c r="D5" s="51" t="n">
        <v>2969.347093300881</v>
      </c>
      <c r="E5" s="40">
        <f>(C5-B5)+C5</f>
        <v/>
      </c>
      <c r="F5" s="41">
        <f>(C5-D5)/C5</f>
        <v/>
      </c>
      <c r="G5" s="44" t="n">
        <v>336445</v>
      </c>
      <c r="H5" s="43" t="n">
        <v>339869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101652</v>
      </c>
      <c r="N5" s="21" t="n">
        <v>102820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234793</v>
      </c>
      <c r="T5" s="43" t="n">
        <v>237049</v>
      </c>
      <c r="U5" s="16">
        <f>M5-S5</f>
        <v/>
      </c>
      <c r="V5" s="17" t="n">
        <v>38</v>
      </c>
      <c r="W5" s="19">
        <f>T5+U5+V5</f>
        <v/>
      </c>
      <c r="AC5" s="42" t="n">
        <v>336326</v>
      </c>
      <c r="AD5" s="43" t="n">
        <v>339750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470.769549834391</v>
      </c>
      <c r="C6" s="40" t="n">
        <v>482.5972056468457</v>
      </c>
      <c r="D6" s="51" t="n">
        <v>480.9553351230315</v>
      </c>
      <c r="E6" s="40">
        <f>(C6-B6)+C6</f>
        <v/>
      </c>
      <c r="F6" s="41">
        <f>(C6-D6)/C6</f>
        <v/>
      </c>
      <c r="G6" s="25" t="n">
        <v>55787</v>
      </c>
      <c r="H6" s="21" t="n">
        <v>56381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21579</v>
      </c>
      <c r="N6" s="21" t="n">
        <v>21862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34208</v>
      </c>
      <c r="T6" s="43" t="n">
        <v>34519</v>
      </c>
      <c r="U6" s="16">
        <f>M6-S6</f>
        <v/>
      </c>
      <c r="V6" s="17" t="n">
        <v>4</v>
      </c>
      <c r="W6" s="19">
        <f>T6+U6+V6</f>
        <v/>
      </c>
      <c r="AC6" s="25" t="n">
        <v>55769</v>
      </c>
      <c r="AD6" s="21" t="n">
        <v>56364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14560.52332124865</v>
      </c>
      <c r="C7" s="40" t="n">
        <v>14818.10442615453</v>
      </c>
      <c r="D7" s="51" t="n">
        <v>14810.46475631986</v>
      </c>
      <c r="E7" s="40">
        <f>(C7-B7)+C7</f>
        <v/>
      </c>
      <c r="F7" s="41">
        <f>(C7-D7)/C7</f>
        <v/>
      </c>
      <c r="G7" s="44" t="n">
        <v>785303</v>
      </c>
      <c r="H7" s="43" t="n">
        <v>797462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413568</v>
      </c>
      <c r="N7" s="21" t="n">
        <v>420504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371735</v>
      </c>
      <c r="T7" s="43" t="n">
        <v>376958</v>
      </c>
      <c r="U7" s="16">
        <f>M7-S7</f>
        <v/>
      </c>
      <c r="V7" s="17" t="n">
        <v>96</v>
      </c>
      <c r="W7" s="19">
        <f>T7+U7+V7</f>
        <v/>
      </c>
      <c r="AC7" s="42" t="n">
        <v>784854</v>
      </c>
      <c r="AD7" s="43" t="n">
        <v>797012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1712.487781737304</v>
      </c>
      <c r="C8" s="40" t="n">
        <v>1742.929392792513</v>
      </c>
      <c r="D8" s="51" t="n">
        <v>1740.676988203957</v>
      </c>
      <c r="E8" s="40">
        <f>(C8-B8)+C8</f>
        <v/>
      </c>
      <c r="F8" s="41">
        <f>(C8-D8)/C8</f>
        <v/>
      </c>
      <c r="G8" s="44" t="n">
        <v>135983</v>
      </c>
      <c r="H8" s="43" t="n">
        <v>137760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55666</v>
      </c>
      <c r="N8" s="21" t="n">
        <v>56402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80317</v>
      </c>
      <c r="T8" s="43" t="n">
        <v>81358</v>
      </c>
      <c r="U8" s="16">
        <f>M8-S8</f>
        <v/>
      </c>
      <c r="V8" s="17" t="n">
        <v>23</v>
      </c>
      <c r="W8" s="19">
        <f>T8+U8+V8</f>
        <v/>
      </c>
      <c r="AC8" s="42" t="n">
        <v>135916</v>
      </c>
      <c r="AD8" s="43" t="n">
        <v>137693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2645.13621180852</v>
      </c>
      <c r="C9" s="40" t="n">
        <v>2663.452957358469</v>
      </c>
      <c r="D9" s="51" t="n">
        <v>2661.959891109933</v>
      </c>
      <c r="E9" s="40">
        <f>(C9-B9)+C9</f>
        <v/>
      </c>
      <c r="F9" s="41">
        <f>(C9-D9)/C9</f>
        <v/>
      </c>
      <c r="G9" s="44" t="n">
        <v>93155</v>
      </c>
      <c r="H9" s="43" t="n">
        <v>94556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41587</v>
      </c>
      <c r="N9" s="21" t="n">
        <v>42176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51568</v>
      </c>
      <c r="T9" s="43" t="n">
        <v>52380</v>
      </c>
      <c r="U9" s="16">
        <f>M9-S9</f>
        <v/>
      </c>
      <c r="V9" s="17" t="n">
        <v>27</v>
      </c>
      <c r="W9" s="19">
        <f>T9+U9+V9</f>
        <v/>
      </c>
      <c r="AC9" s="42" t="n">
        <v>93117</v>
      </c>
      <c r="AD9" s="43" t="n">
        <v>94518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2900.332998813709</v>
      </c>
      <c r="C10" s="40" t="n">
        <v>2945.113371538162</v>
      </c>
      <c r="D10" s="51" t="n">
        <v>2947.300295745908</v>
      </c>
      <c r="E10" s="40">
        <f>(C10-B10)+C10</f>
        <v/>
      </c>
      <c r="F10" s="41">
        <f>(C10-D10)/C10</f>
        <v/>
      </c>
      <c r="G10" s="44" t="n">
        <v>224882</v>
      </c>
      <c r="H10" s="43" t="n">
        <v>226389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39264</v>
      </c>
      <c r="N10" s="21" t="n">
        <v>39808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185618</v>
      </c>
      <c r="T10" s="43" t="n">
        <v>186581</v>
      </c>
      <c r="U10" s="16">
        <f>M10-S10</f>
        <v/>
      </c>
      <c r="V10" s="17" t="n">
        <v>44</v>
      </c>
      <c r="W10" s="19">
        <f>T10+U10+V10</f>
        <v/>
      </c>
      <c r="AC10" s="42" t="n">
        <v>224859</v>
      </c>
      <c r="AD10" s="43" t="n">
        <v>226366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1670.667339509283</v>
      </c>
      <c r="C11" s="40" t="n">
        <v>1708.518220238051</v>
      </c>
      <c r="D11" s="51" t="n">
        <v>1704.765077638415</v>
      </c>
      <c r="E11" s="40">
        <f>(C11-B11)+C11</f>
        <v/>
      </c>
      <c r="F11" s="41">
        <f>(C11-D11)/C11</f>
        <v/>
      </c>
      <c r="G11" s="44" t="n">
        <v>198826</v>
      </c>
      <c r="H11" s="43" t="n">
        <v>201396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73471</v>
      </c>
      <c r="N11" s="21" t="n">
        <v>74553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125355</v>
      </c>
      <c r="T11" s="43" t="n">
        <v>126843</v>
      </c>
      <c r="U11" s="16">
        <f>M11-S11</f>
        <v/>
      </c>
      <c r="V11" s="17" t="n">
        <v>53</v>
      </c>
      <c r="W11" s="19">
        <f>T11+U11+V11</f>
        <v/>
      </c>
      <c r="AC11" s="42" t="n">
        <v>198749</v>
      </c>
      <c r="AD11" s="43" t="n">
        <v>201317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3038.170470932497</v>
      </c>
      <c r="C12" s="40" t="n">
        <v>3104.214108068035</v>
      </c>
      <c r="D12" s="51" t="n">
        <v>3090.418602509778</v>
      </c>
      <c r="E12" s="40">
        <f>(C12-B12)+C12</f>
        <v/>
      </c>
      <c r="F12" s="41">
        <f>(C12-D12)/C12</f>
        <v/>
      </c>
      <c r="G12" s="44" t="n">
        <v>301283</v>
      </c>
      <c r="H12" s="43" t="n">
        <v>306516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118391</v>
      </c>
      <c r="N12" s="21" t="n">
        <v>119834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182892</v>
      </c>
      <c r="T12" s="43" t="n">
        <v>186682</v>
      </c>
      <c r="U12" s="16">
        <f>M12-S12</f>
        <v/>
      </c>
      <c r="V12" s="17" t="n">
        <v>64</v>
      </c>
      <c r="W12" s="19">
        <f>T12+U12+V12</f>
        <v/>
      </c>
      <c r="AC12" s="42" t="n">
        <v>301138</v>
      </c>
      <c r="AD12" s="43" t="n">
        <v>306371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871.7350067822065</v>
      </c>
      <c r="C13" s="40" t="n">
        <v>892.7088752695413</v>
      </c>
      <c r="D13" s="51" t="n">
        <v>889.6786317669853</v>
      </c>
      <c r="E13" s="40">
        <f>(C13-B13)+C13</f>
        <v/>
      </c>
      <c r="F13" s="41">
        <f>(C13-D13)/C13</f>
        <v/>
      </c>
      <c r="G13" s="44" t="n">
        <v>77482</v>
      </c>
      <c r="H13" s="43" t="n">
        <v>78722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21610</v>
      </c>
      <c r="N13" s="21" t="n">
        <v>21894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55872</v>
      </c>
      <c r="T13" s="43" t="n">
        <v>56828</v>
      </c>
      <c r="U13" s="16">
        <f>M13-S13</f>
        <v/>
      </c>
      <c r="V13" s="17" t="n">
        <v>36</v>
      </c>
      <c r="W13" s="19">
        <f>T13+U13+V13</f>
        <v/>
      </c>
      <c r="AC13" s="42" t="n">
        <v>77447</v>
      </c>
      <c r="AD13" s="43" t="n">
        <v>78687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3746.18875740107</v>
      </c>
      <c r="C14" s="40" t="n">
        <v>3815.940570550623</v>
      </c>
      <c r="D14" s="51" t="n">
        <v>3809.993687795493</v>
      </c>
      <c r="E14" s="40">
        <f>(C14-B14)+C14</f>
        <v/>
      </c>
      <c r="F14" s="41">
        <f>(C14-D14)/C14</f>
        <v/>
      </c>
      <c r="G14" s="44" t="n">
        <v>258854</v>
      </c>
      <c r="H14" s="43" t="n">
        <v>262368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90525</v>
      </c>
      <c r="N14" s="21" t="n">
        <v>91938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168329</v>
      </c>
      <c r="T14" s="43" t="n">
        <v>170430</v>
      </c>
      <c r="U14" s="16">
        <f>M14-S14</f>
        <v/>
      </c>
      <c r="V14" s="17" t="n">
        <v>50</v>
      </c>
      <c r="W14" s="19">
        <f>T14+U14+V14</f>
        <v/>
      </c>
      <c r="AC14" s="42" t="n">
        <v>258744</v>
      </c>
      <c r="AD14" s="43" t="n">
        <v>262254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2893.093000939126</v>
      </c>
      <c r="C15" s="40" t="n">
        <v>2952.500194140771</v>
      </c>
      <c r="D15" s="51" t="n">
        <v>2950.897000389838</v>
      </c>
      <c r="E15" s="40">
        <f>(C15-B15)+C15</f>
        <v/>
      </c>
      <c r="F15" s="41">
        <f>(C15-D15)/C15</f>
        <v/>
      </c>
      <c r="G15" s="44" t="n">
        <v>249793</v>
      </c>
      <c r="H15" s="43" t="n">
        <v>253810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84018</v>
      </c>
      <c r="N15" s="21" t="n">
        <v>85316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165775</v>
      </c>
      <c r="T15" s="43" t="n">
        <v>168494</v>
      </c>
      <c r="U15" s="16">
        <f>M15-S15</f>
        <v/>
      </c>
      <c r="V15" s="17" t="n">
        <v>53</v>
      </c>
      <c r="W15" s="19">
        <f>T15+U15+V15</f>
        <v/>
      </c>
      <c r="AC15" s="42" t="n">
        <v>249675</v>
      </c>
      <c r="AD15" s="43" t="n">
        <v>253693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510.3170654730069</v>
      </c>
      <c r="C16" s="40" t="n">
        <v>520.640486755071</v>
      </c>
      <c r="D16" s="51" t="n">
        <v>519.4209566424192</v>
      </c>
      <c r="E16" s="40">
        <f>(C16-B16)+C16</f>
        <v/>
      </c>
      <c r="F16" s="41">
        <f>(C16-D16)/C16</f>
        <v/>
      </c>
      <c r="G16" s="44" t="n">
        <v>71309</v>
      </c>
      <c r="H16" s="43" t="n">
        <v>72093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20158</v>
      </c>
      <c r="N16" s="21" t="n">
        <v>20438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51151</v>
      </c>
      <c r="T16" s="43" t="n">
        <v>51655</v>
      </c>
      <c r="U16" s="16">
        <f>M16-S16</f>
        <v/>
      </c>
      <c r="V16" s="17" t="n">
        <v>11</v>
      </c>
      <c r="W16" s="19">
        <f>T16+U16+V16</f>
        <v/>
      </c>
      <c r="AC16" s="42" t="n">
        <v>71289</v>
      </c>
      <c r="AD16" s="43" t="n">
        <v>72072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4794.702584605134</v>
      </c>
      <c r="C17" s="40" t="n">
        <v>4876.753021423988</v>
      </c>
      <c r="D17" s="51" t="n">
        <v>4875.918499565276</v>
      </c>
      <c r="E17" s="40">
        <f>(C17-B17)+C17</f>
        <v/>
      </c>
      <c r="F17" s="41">
        <f>(C17-D17)/C17</f>
        <v/>
      </c>
      <c r="G17" s="44" t="n">
        <v>305417</v>
      </c>
      <c r="H17" s="43" t="n">
        <v>309184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151389</v>
      </c>
      <c r="N17" s="21" t="n">
        <v>153559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154028</v>
      </c>
      <c r="T17" s="43" t="n">
        <v>155625</v>
      </c>
      <c r="U17" s="16">
        <f>M17-S17</f>
        <v/>
      </c>
      <c r="V17" s="17" t="n">
        <v>147</v>
      </c>
      <c r="W17" s="19">
        <f>T17+U17+V17</f>
        <v/>
      </c>
      <c r="AC17" s="42" t="n">
        <v>305278</v>
      </c>
      <c r="AD17" s="43" t="n">
        <v>309049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1602.219271620725</v>
      </c>
      <c r="C18" s="40" t="n">
        <v>1625.997417496433</v>
      </c>
      <c r="D18" s="51" t="n">
        <v>1631.339947676996</v>
      </c>
      <c r="E18" s="40">
        <f>(C18-B18)+C18</f>
        <v/>
      </c>
      <c r="F18" s="41">
        <f>(C18-D18)/C18</f>
        <v/>
      </c>
      <c r="G18" s="44" t="n">
        <v>281932</v>
      </c>
      <c r="H18" s="43" t="n">
        <v>283265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37607</v>
      </c>
      <c r="N18" s="21" t="n">
        <v>38178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244325</v>
      </c>
      <c r="T18" s="43" t="n">
        <v>245087</v>
      </c>
      <c r="U18" s="16">
        <f>M18-S18</f>
        <v/>
      </c>
      <c r="V18" s="17" t="n">
        <v>28</v>
      </c>
      <c r="W18" s="19">
        <f>T18+U18+V18</f>
        <v/>
      </c>
      <c r="AC18" s="42" t="n">
        <v>281824</v>
      </c>
      <c r="AD18" s="43" t="n">
        <v>283157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1598.77057204076</v>
      </c>
      <c r="C19" s="40" t="n">
        <v>1631.372499699316</v>
      </c>
      <c r="D19" s="51" t="n">
        <v>1626.512918916082</v>
      </c>
      <c r="E19" s="40">
        <f>(C19-B19)+C19</f>
        <v/>
      </c>
      <c r="F19" s="41">
        <f>(C19-D19)/C19</f>
        <v/>
      </c>
      <c r="G19" s="44" t="n">
        <v>122788</v>
      </c>
      <c r="H19" s="43" t="n">
        <v>125285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42641</v>
      </c>
      <c r="N19" s="21" t="n">
        <v>43282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80147</v>
      </c>
      <c r="T19" s="43" t="n">
        <v>82003</v>
      </c>
      <c r="U19" s="16">
        <f>M19-S19</f>
        <v/>
      </c>
      <c r="V19" s="17" t="n">
        <v>60</v>
      </c>
      <c r="W19" s="19">
        <f>T19+U19+V19</f>
        <v/>
      </c>
      <c r="AC19" s="42" t="n">
        <v>122714</v>
      </c>
      <c r="AD19" s="43" t="n">
        <v>125211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630.8884846588205</v>
      </c>
      <c r="C20" s="40" t="n">
        <v>645.0200704392565</v>
      </c>
      <c r="D20" s="51" t="n">
        <v>644.0067487509274</v>
      </c>
      <c r="E20" s="40">
        <f>(C20-B20)+C20</f>
        <v/>
      </c>
      <c r="F20" s="41">
        <f>(C20-D20)/C20</f>
        <v/>
      </c>
      <c r="G20" s="44" t="n">
        <v>75347</v>
      </c>
      <c r="H20" s="43" t="n">
        <v>76223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22454</v>
      </c>
      <c r="N20" s="21" t="n">
        <v>22815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52893</v>
      </c>
      <c r="T20" s="43" t="n">
        <v>53408</v>
      </c>
      <c r="U20" s="16">
        <f>M20-S20</f>
        <v/>
      </c>
      <c r="V20" s="17" t="n">
        <v>24</v>
      </c>
      <c r="W20" s="19">
        <f>T20+U20+V20</f>
        <v/>
      </c>
      <c r="AC20" s="42" t="n">
        <v>75294</v>
      </c>
      <c r="AD20" s="43" t="n">
        <v>76170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225.0761733267155</v>
      </c>
      <c r="C21" s="40" t="n">
        <v>231.741958913078</v>
      </c>
      <c r="D21" s="51" t="n">
        <v>231.0052393804491</v>
      </c>
      <c r="E21" s="40">
        <f>(C21-B21)+C21</f>
        <v/>
      </c>
      <c r="F21" s="41">
        <f>(C21-D21)/C21</f>
        <v/>
      </c>
      <c r="G21" s="25" t="n">
        <v>22304</v>
      </c>
      <c r="H21" s="21" t="n">
        <v>22566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9257</v>
      </c>
      <c r="N21" s="21" t="n">
        <v>9386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13047</v>
      </c>
      <c r="T21" s="43" t="n">
        <v>13180</v>
      </c>
      <c r="U21" s="16">
        <f>M21-S21</f>
        <v/>
      </c>
      <c r="V21" s="17" t="n">
        <v>25</v>
      </c>
      <c r="W21" s="19">
        <f>T21+U21+V21</f>
        <v/>
      </c>
      <c r="AC21" s="25" t="n">
        <v>22291</v>
      </c>
      <c r="AD21" s="21" t="n">
        <v>22553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122.5908382832192</v>
      </c>
      <c r="C22" s="40" t="n">
        <v>126.4277735828403</v>
      </c>
      <c r="D22" s="51" t="n">
        <v>126.4078569322354</v>
      </c>
      <c r="E22" s="40">
        <f>(C22-B22)+C22</f>
        <v/>
      </c>
      <c r="F22" s="41">
        <f>(C22-D22)/C22</f>
        <v/>
      </c>
      <c r="G22" s="44" t="n">
        <v>10966</v>
      </c>
      <c r="H22" s="43" t="n">
        <v>11161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4208</v>
      </c>
      <c r="N22" s="21" t="n">
        <v>4286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6758</v>
      </c>
      <c r="T22" s="43" t="n">
        <v>6875</v>
      </c>
      <c r="U22" s="16">
        <f>M22-S22</f>
        <v/>
      </c>
      <c r="V22" s="17" t="n">
        <v>6</v>
      </c>
      <c r="W22" s="19">
        <f>T22+U22+V22</f>
        <v/>
      </c>
      <c r="AC22" s="42" t="n">
        <v>10949</v>
      </c>
      <c r="AD22" s="43" t="n">
        <v>11144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3537.808122464755</v>
      </c>
      <c r="C23" s="40" t="n">
        <v>3613.16236996295</v>
      </c>
      <c r="D23" s="51" t="n">
        <v>3609.835173809399</v>
      </c>
      <c r="E23" s="40">
        <f>(C23-B23)+C23</f>
        <v/>
      </c>
      <c r="F23" s="41">
        <f>(C23-D23)/C23</f>
        <v/>
      </c>
      <c r="G23" s="44" t="n">
        <v>394315</v>
      </c>
      <c r="H23" s="43" t="n">
        <v>398398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162376</v>
      </c>
      <c r="N23" s="21" t="n">
        <v>164543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231939</v>
      </c>
      <c r="T23" s="43" t="n">
        <v>233855</v>
      </c>
      <c r="U23" s="16">
        <f>M23-S23</f>
        <v/>
      </c>
      <c r="V23" s="17" t="n">
        <v>55</v>
      </c>
      <c r="W23" s="19">
        <f>T23+U23+V23</f>
        <v/>
      </c>
      <c r="AC23" s="42" t="n">
        <v>394204</v>
      </c>
      <c r="AD23" s="43" t="n">
        <v>398287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851.6668169479408</v>
      </c>
      <c r="C24" s="40" t="n">
        <v>871.5928865735058</v>
      </c>
      <c r="D24" s="51" t="n">
        <v>869.7295414904798</v>
      </c>
      <c r="E24" s="40">
        <f>(C24-B24)+C24</f>
        <v/>
      </c>
      <c r="F24" s="41">
        <f>(C24-D24)/C24</f>
        <v/>
      </c>
      <c r="G24" s="44" t="n">
        <v>95991</v>
      </c>
      <c r="H24" s="43" t="n">
        <v>97029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37256</v>
      </c>
      <c r="N24" s="21" t="n">
        <v>37693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58735</v>
      </c>
      <c r="T24" s="43" t="n">
        <v>59336</v>
      </c>
      <c r="U24" s="16">
        <f>M24-S24</f>
        <v/>
      </c>
      <c r="V24" s="17" t="n">
        <v>19</v>
      </c>
      <c r="W24" s="19">
        <f>T24+U24+V24</f>
        <v/>
      </c>
      <c r="AC24" s="42" t="n">
        <v>95950</v>
      </c>
      <c r="AD24" s="43" t="n">
        <v>96988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1089.16585359118</v>
      </c>
      <c r="C25" s="40" t="n">
        <v>1111.741109387545</v>
      </c>
      <c r="D25" s="51" t="n">
        <v>1110.641318901971</v>
      </c>
      <c r="E25" s="40">
        <f>(C25-B25)+C25</f>
        <v/>
      </c>
      <c r="F25" s="41">
        <f>(C25-D25)/C25</f>
        <v/>
      </c>
      <c r="G25" s="44" t="n">
        <v>145921</v>
      </c>
      <c r="H25" s="43" t="n">
        <v>147252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39242</v>
      </c>
      <c r="N25" s="21" t="n">
        <v>39830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106679</v>
      </c>
      <c r="T25" s="43" t="n">
        <v>107422</v>
      </c>
      <c r="U25" s="16">
        <f>M25-S25</f>
        <v/>
      </c>
      <c r="V25" s="17" t="n">
        <v>20</v>
      </c>
      <c r="W25" s="19">
        <f>T25+U25+V25</f>
        <v/>
      </c>
      <c r="AC25" s="42" t="n">
        <v>145886</v>
      </c>
      <c r="AD25" s="43" t="n">
        <v>147217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9043.852380862991</v>
      </c>
      <c r="C26" s="40" t="n">
        <v>9318.914546324804</v>
      </c>
      <c r="D26" s="51" t="n">
        <v>9224.99874467327</v>
      </c>
      <c r="E26" s="40">
        <f>(C26-B26)+C26</f>
        <v/>
      </c>
      <c r="F26" s="41">
        <f>(C26-D26)/C26</f>
        <v/>
      </c>
      <c r="G26" s="44" t="n">
        <v>162442</v>
      </c>
      <c r="H26" s="43" t="n">
        <v>164334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149258</v>
      </c>
      <c r="N26" s="21" t="n">
        <v>151002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13184</v>
      </c>
      <c r="T26" s="43" t="n">
        <v>13332</v>
      </c>
      <c r="U26" s="16">
        <f>M26-S26</f>
        <v/>
      </c>
      <c r="V26" s="17" t="n">
        <v>9</v>
      </c>
      <c r="W26" s="19">
        <f>T26+U26+V26</f>
        <v/>
      </c>
      <c r="AC26" s="42" t="n">
        <v>162270</v>
      </c>
      <c r="AD26" s="43" t="n">
        <v>164163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4412.059459860669</v>
      </c>
      <c r="C27" s="40" t="n">
        <v>4486.417590850524</v>
      </c>
      <c r="D27" s="51" t="n">
        <v>4485.218216108834</v>
      </c>
      <c r="E27" s="40">
        <f>(C27-B27)+C27</f>
        <v/>
      </c>
      <c r="F27" s="41">
        <f>(C27-D27)/C27</f>
        <v/>
      </c>
      <c r="G27" s="44" t="n">
        <v>275641</v>
      </c>
      <c r="H27" s="43" t="n">
        <v>279318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141701</v>
      </c>
      <c r="N27" s="21" t="n">
        <v>143959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133940</v>
      </c>
      <c r="T27" s="43" t="n">
        <v>135359</v>
      </c>
      <c r="U27" s="16">
        <f>M27-S27</f>
        <v/>
      </c>
      <c r="V27" s="17" t="n">
        <v>60</v>
      </c>
      <c r="W27" s="19">
        <f>T27+U27+V27</f>
        <v/>
      </c>
      <c r="AC27" s="42" t="n">
        <v>275483</v>
      </c>
      <c r="AD27" s="43" t="n">
        <v>279158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1445.643241104832</v>
      </c>
      <c r="C28" s="40" t="n">
        <v>1465.017639940352</v>
      </c>
      <c r="D28" s="51" t="n">
        <v>1464.100008390998</v>
      </c>
      <c r="E28" s="40">
        <f>(C28-B28)+C28</f>
        <v/>
      </c>
      <c r="F28" s="41">
        <f>(C28-D28)/C28</f>
        <v/>
      </c>
      <c r="G28" s="44" t="n">
        <v>43866</v>
      </c>
      <c r="H28" s="43" t="n">
        <v>44453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26563</v>
      </c>
      <c r="N28" s="21" t="n">
        <v>26885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17303</v>
      </c>
      <c r="T28" s="43" t="n">
        <v>17568</v>
      </c>
      <c r="U28" s="16">
        <f>M28-S28</f>
        <v/>
      </c>
      <c r="V28" s="17" t="n">
        <v>6</v>
      </c>
      <c r="W28" s="19">
        <f>T28+U28+V28</f>
        <v/>
      </c>
      <c r="AC28" s="42" t="n">
        <v>43835</v>
      </c>
      <c r="AD28" s="43" t="n">
        <v>44422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46.99943747691125</v>
      </c>
      <c r="C29" s="40" t="n">
        <v>48.2287838958647</v>
      </c>
      <c r="D29" s="51" t="n">
        <v>48.29080174449795</v>
      </c>
      <c r="E29" s="40">
        <f>(C29-B29)+C29</f>
        <v/>
      </c>
      <c r="F29" s="41">
        <f>(C29-D29)/C29</f>
        <v/>
      </c>
      <c r="G29" s="44" t="n">
        <v>3317</v>
      </c>
      <c r="H29" s="43" t="n">
        <v>3364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1244</v>
      </c>
      <c r="N29" s="21" t="n">
        <v>1258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2073</v>
      </c>
      <c r="T29" s="43" t="n">
        <v>2106</v>
      </c>
      <c r="U29" s="16">
        <f>M29-S29</f>
        <v/>
      </c>
      <c r="V29" s="17" t="n">
        <v>1</v>
      </c>
      <c r="W29" s="19">
        <f>T29+U29+V29</f>
        <v/>
      </c>
      <c r="AC29" s="42" t="n">
        <v>3311</v>
      </c>
      <c r="AD29" s="43" t="n">
        <v>3358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848.7035055255136</v>
      </c>
      <c r="C30" s="40" t="n">
        <v>870.6140654343285</v>
      </c>
      <c r="D30" s="51" t="n">
        <v>868.821675567169</v>
      </c>
      <c r="E30" s="40">
        <f>(C30-B30)+C30</f>
        <v/>
      </c>
      <c r="F30" s="41">
        <f>(C30-D30)/C30</f>
        <v/>
      </c>
      <c r="G30" s="44" t="n">
        <v>81746</v>
      </c>
      <c r="H30" s="43" t="n">
        <v>83234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21005</v>
      </c>
      <c r="N30" s="21" t="n">
        <v>21383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60741</v>
      </c>
      <c r="T30" s="43" t="n">
        <v>61851</v>
      </c>
      <c r="U30" s="16">
        <f>M30-S30</f>
        <v/>
      </c>
      <c r="V30" s="17" t="n">
        <v>29</v>
      </c>
      <c r="W30" s="19">
        <f>T30+U30+V30</f>
        <v/>
      </c>
      <c r="AC30" s="42" t="n">
        <v>81713</v>
      </c>
      <c r="AD30" s="43" t="n">
        <v>83201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1685.153552484291</v>
      </c>
      <c r="C31" s="40" t="n">
        <v>1719.814904691777</v>
      </c>
      <c r="D31" s="51" t="n">
        <v>1713.629293105461</v>
      </c>
      <c r="E31" s="40">
        <f>(C31-B31)+C31</f>
        <v/>
      </c>
      <c r="F31" s="41">
        <f>(C31-D31)/C31</f>
        <v/>
      </c>
      <c r="G31" s="44" t="n">
        <v>163637</v>
      </c>
      <c r="H31" s="43" t="n">
        <v>165866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56790</v>
      </c>
      <c r="N31" s="21" t="n">
        <v>57492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106847</v>
      </c>
      <c r="T31" s="43" t="n">
        <v>108374</v>
      </c>
      <c r="U31" s="16">
        <f>M31-S31</f>
        <v/>
      </c>
      <c r="V31" s="17" t="n">
        <v>45</v>
      </c>
      <c r="W31" s="19">
        <f>T31+U31+V31</f>
        <v/>
      </c>
      <c r="AC31" s="42" t="n">
        <v>163561</v>
      </c>
      <c r="AD31" s="43" t="n">
        <v>165790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8499.399750000866</v>
      </c>
      <c r="C32" s="40" t="n">
        <v>8627.31097905975</v>
      </c>
      <c r="D32" s="51" t="n">
        <v>8624.88775302772</v>
      </c>
      <c r="E32" s="40">
        <f>(C32-B32)+C32</f>
        <v/>
      </c>
      <c r="F32" s="41">
        <f>(C32-D32)/C32</f>
        <v/>
      </c>
      <c r="G32" s="44" t="n">
        <v>331647</v>
      </c>
      <c r="H32" s="43" t="n">
        <v>336347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172282</v>
      </c>
      <c r="N32" s="21" t="n">
        <v>175053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159365</v>
      </c>
      <c r="T32" s="43" t="n">
        <v>161294</v>
      </c>
      <c r="U32" s="16">
        <f>M32-S32</f>
        <v/>
      </c>
      <c r="V32" s="17" t="n">
        <v>56</v>
      </c>
      <c r="W32" s="19">
        <f>T32+U32+V32</f>
        <v/>
      </c>
      <c r="AC32" s="42" t="n">
        <v>331489</v>
      </c>
      <c r="AD32" s="43" t="n">
        <v>336190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2076.84338997607</v>
      </c>
      <c r="C33" s="40" t="n">
        <v>2108.944710364075</v>
      </c>
      <c r="D33" s="51" t="n">
        <v>2107.189512299301</v>
      </c>
      <c r="E33" s="40">
        <f>(C33-B33)+C33</f>
        <v/>
      </c>
      <c r="F33" s="41">
        <f>(C33-D33)/C33</f>
        <v/>
      </c>
      <c r="G33" s="44" t="n">
        <v>100178</v>
      </c>
      <c r="H33" s="43" t="n">
        <v>101693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55308</v>
      </c>
      <c r="N33" s="21" t="n">
        <v>56269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44870</v>
      </c>
      <c r="T33" s="43" t="n">
        <v>45424</v>
      </c>
      <c r="U33" s="16">
        <f>M33-S33</f>
        <v/>
      </c>
      <c r="V33" s="17" t="n">
        <v>15</v>
      </c>
      <c r="W33" s="19">
        <f>T33+U33+V33</f>
        <v/>
      </c>
      <c r="AC33" s="42" t="n">
        <v>100122</v>
      </c>
      <c r="AD33" s="43" t="n">
        <v>101637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4570580.650798637</v>
      </c>
      <c r="C34" s="28" t="n">
        <v>4812933.329511005</v>
      </c>
      <c r="D34" s="53" t="n">
        <v>4802817.785254985</v>
      </c>
      <c r="E34" s="28">
        <f>(C34-B34)+C34</f>
        <v/>
      </c>
      <c r="F34" s="30">
        <f>(C34-D34)/C34</f>
        <v/>
      </c>
      <c r="G34" s="26" t="n">
        <v>48171128</v>
      </c>
      <c r="H34" s="31" t="n">
        <v>49358225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2762506</v>
      </c>
      <c r="N34" s="33" t="n">
        <v>2801466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3726488</v>
      </c>
      <c r="T34" s="31" t="n">
        <v>3768526</v>
      </c>
      <c r="U34" s="31" t="n">
        <v>240028</v>
      </c>
      <c r="V34" s="31" t="n">
        <v>1244</v>
      </c>
      <c r="W34" s="31">
        <f>T34+U34+V34</f>
        <v/>
      </c>
      <c r="X34" s="32" t="n">
        <v>41682134</v>
      </c>
      <c r="Y34" s="34" t="n">
        <v>42788233</v>
      </c>
      <c r="Z34" s="34" t="n">
        <v>4986</v>
      </c>
      <c r="AA34" s="34" t="n">
        <v>272</v>
      </c>
      <c r="AB34" s="34">
        <f>Y34+Z34+AA34</f>
        <v/>
      </c>
      <c r="AC34" s="35" t="n">
        <v>6485324</v>
      </c>
      <c r="AD34" s="31" t="n">
        <v>6566317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37375</v>
      </c>
      <c r="E39" s="17">
        <f>D39+C39</f>
        <v/>
      </c>
    </row>
    <row r="42">
      <c r="A42" s="9" t="n"/>
      <c r="B42" s="54" t="n"/>
    </row>
    <row r="44">
      <c r="A44" s="9" t="n"/>
    </row>
    <row r="45">
      <c r="A45" s="9" t="n"/>
      <c r="B45" s="54" t="n"/>
      <c r="E45" s="9" t="n"/>
    </row>
    <row r="47">
      <c r="A47" s="9" t="n"/>
      <c r="B47" s="54" t="n"/>
      <c r="E47" s="9" t="n"/>
    </row>
    <row r="49">
      <c r="A49" s="9" t="n"/>
      <c r="B49" s="54" t="n"/>
      <c r="E49" s="9" t="n"/>
    </row>
    <row r="51">
      <c r="A51" s="9" t="n"/>
      <c r="B51" s="54" t="n"/>
      <c r="E51" s="9" t="n"/>
    </row>
    <row r="53">
      <c r="A53" s="9" t="n"/>
      <c r="B53" s="54" t="n"/>
      <c r="E53" s="9" t="n"/>
    </row>
    <row r="55">
      <c r="A55" s="9" t="n"/>
      <c r="B55" s="54" t="n"/>
      <c r="E55" s="9" t="n"/>
    </row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2219.457809490601</v>
      </c>
      <c r="C3" s="40" t="n">
        <v>2256.08534729082</v>
      </c>
      <c r="D3" s="51" t="n">
        <v>2254.82004187525</v>
      </c>
      <c r="E3" s="40">
        <f>(C3-B3)+C3</f>
        <v/>
      </c>
      <c r="F3" s="41">
        <f>(C3-D3)/C3</f>
        <v/>
      </c>
      <c r="G3" s="44" t="n">
        <v>169435</v>
      </c>
      <c r="H3" s="43" t="n">
        <v>171619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77716</v>
      </c>
      <c r="N3" s="21" t="n">
        <v>78807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91719</v>
      </c>
      <c r="T3" s="43" t="n">
        <v>92812</v>
      </c>
      <c r="U3" s="16">
        <f>M3-S3</f>
        <v/>
      </c>
      <c r="V3" s="17" t="n">
        <v>36</v>
      </c>
      <c r="W3" s="19">
        <f>T3+U3+V3</f>
        <v/>
      </c>
      <c r="AC3" s="42" t="n">
        <v>169359</v>
      </c>
      <c r="AD3" s="43" t="n">
        <v>171542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102436.1737397738</v>
      </c>
      <c r="C4" s="40" t="n">
        <v>106366.7086179557</v>
      </c>
      <c r="D4" s="51" t="n">
        <v>106308.0190940705</v>
      </c>
      <c r="E4" s="40">
        <f>(C4-B4)+C4</f>
        <v/>
      </c>
      <c r="F4" s="41">
        <f>(C4-D4)/C4</f>
        <v/>
      </c>
      <c r="G4" s="44" t="n">
        <v>183481</v>
      </c>
      <c r="H4" s="43" t="n">
        <v>185655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175262</v>
      </c>
      <c r="N4" s="21" t="n">
        <v>177322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8219</v>
      </c>
      <c r="T4" s="43" t="n">
        <v>8333</v>
      </c>
      <c r="U4" s="16">
        <f>M4-S4</f>
        <v/>
      </c>
      <c r="V4" s="17" t="n">
        <v>6</v>
      </c>
      <c r="W4" s="19">
        <f>T4+U4+V4</f>
        <v/>
      </c>
      <c r="AC4" s="42" t="n">
        <v>183114</v>
      </c>
      <c r="AD4" s="43" t="n">
        <v>185287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2972.894509887649</v>
      </c>
      <c r="C5" s="40" t="n">
        <v>3021.577162259626</v>
      </c>
      <c r="D5" s="51" t="n">
        <v>3024.339470811437</v>
      </c>
      <c r="E5" s="40">
        <f>(C5-B5)+C5</f>
        <v/>
      </c>
      <c r="F5" s="41">
        <f>(C5-D5)/C5</f>
        <v/>
      </c>
      <c r="G5" s="44" t="n">
        <v>339869</v>
      </c>
      <c r="H5" s="43" t="n">
        <v>343286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102820</v>
      </c>
      <c r="N5" s="21" t="n">
        <v>104013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237049</v>
      </c>
      <c r="T5" s="43" t="n">
        <v>239273</v>
      </c>
      <c r="U5" s="16">
        <f>M5-S5</f>
        <v/>
      </c>
      <c r="V5" s="17" t="n">
        <v>38</v>
      </c>
      <c r="W5" s="19">
        <f>T5+U5+V5</f>
        <v/>
      </c>
      <c r="AC5" s="42" t="n">
        <v>339750</v>
      </c>
      <c r="AD5" s="43" t="n">
        <v>343167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482.5972056468457</v>
      </c>
      <c r="C6" s="40" t="n">
        <v>492.3771101590755</v>
      </c>
      <c r="D6" s="51" t="n">
        <v>494.4248614593004</v>
      </c>
      <c r="E6" s="40">
        <f>(C6-B6)+C6</f>
        <v/>
      </c>
      <c r="F6" s="41">
        <f>(C6-D6)/C6</f>
        <v/>
      </c>
      <c r="G6" s="25" t="n">
        <v>56381</v>
      </c>
      <c r="H6" s="21" t="n">
        <v>56910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21862</v>
      </c>
      <c r="N6" s="21" t="n">
        <v>22109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34519</v>
      </c>
      <c r="T6" s="43" t="n">
        <v>34801</v>
      </c>
      <c r="U6" s="16">
        <f>M6-S6</f>
        <v/>
      </c>
      <c r="V6" s="17" t="n">
        <v>4</v>
      </c>
      <c r="W6" s="19">
        <f>T6+U6+V6</f>
        <v/>
      </c>
      <c r="AC6" s="25" t="n">
        <v>56364</v>
      </c>
      <c r="AD6" s="21" t="n">
        <v>56893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14818.10442615453</v>
      </c>
      <c r="C7" s="40" t="n">
        <v>15085.84280813934</v>
      </c>
      <c r="D7" s="51" t="n">
        <v>15075.68553106041</v>
      </c>
      <c r="E7" s="40">
        <f>(C7-B7)+C7</f>
        <v/>
      </c>
      <c r="F7" s="41">
        <f>(C7-D7)/C7</f>
        <v/>
      </c>
      <c r="G7" s="44" t="n">
        <v>797462</v>
      </c>
      <c r="H7" s="43" t="n">
        <v>810129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420504</v>
      </c>
      <c r="N7" s="21" t="n">
        <v>427106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376958</v>
      </c>
      <c r="T7" s="43" t="n">
        <v>383023</v>
      </c>
      <c r="U7" s="16">
        <f>M7-S7</f>
        <v/>
      </c>
      <c r="V7" s="17" t="n">
        <v>96</v>
      </c>
      <c r="W7" s="19">
        <f>T7+U7+V7</f>
        <v/>
      </c>
      <c r="AC7" s="42" t="n">
        <v>797012</v>
      </c>
      <c r="AD7" s="43" t="n">
        <v>809678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1742.929392792513</v>
      </c>
      <c r="C8" s="40" t="n">
        <v>1777.983878358051</v>
      </c>
      <c r="D8" s="51" t="n">
        <v>1773.371003847722</v>
      </c>
      <c r="E8" s="40">
        <f>(C8-B8)+C8</f>
        <v/>
      </c>
      <c r="F8" s="41">
        <f>(C8-D8)/C8</f>
        <v/>
      </c>
      <c r="G8" s="44" t="n">
        <v>137760</v>
      </c>
      <c r="H8" s="43" t="n">
        <v>139630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56402</v>
      </c>
      <c r="N8" s="21" t="n">
        <v>57168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81358</v>
      </c>
      <c r="T8" s="43" t="n">
        <v>82462</v>
      </c>
      <c r="U8" s="16">
        <f>M8-S8</f>
        <v/>
      </c>
      <c r="V8" s="17" t="n">
        <v>23</v>
      </c>
      <c r="W8" s="19">
        <f>T8+U8+V8</f>
        <v/>
      </c>
      <c r="AC8" s="42" t="n">
        <v>137693</v>
      </c>
      <c r="AD8" s="43" t="n">
        <v>139563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2663.452957358469</v>
      </c>
      <c r="C9" s="40" t="n">
        <v>2680.032417145844</v>
      </c>
      <c r="D9" s="51" t="n">
        <v>2681.769702908417</v>
      </c>
      <c r="E9" s="40">
        <f>(C9-B9)+C9</f>
        <v/>
      </c>
      <c r="F9" s="41">
        <f>(C9-D9)/C9</f>
        <v/>
      </c>
      <c r="G9" s="44" t="n">
        <v>94556</v>
      </c>
      <c r="H9" s="43" t="n">
        <v>96047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42176</v>
      </c>
      <c r="N9" s="21" t="n">
        <v>42741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52380</v>
      </c>
      <c r="T9" s="43" t="n">
        <v>53306</v>
      </c>
      <c r="U9" s="16">
        <f>M9-S9</f>
        <v/>
      </c>
      <c r="V9" s="17" t="n">
        <v>27</v>
      </c>
      <c r="W9" s="19">
        <f>T9+U9+V9</f>
        <v/>
      </c>
      <c r="AC9" s="42" t="n">
        <v>94518</v>
      </c>
      <c r="AD9" s="43" t="n">
        <v>96008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2945.113371538162</v>
      </c>
      <c r="C10" s="40" t="n">
        <v>2988.83326624576</v>
      </c>
      <c r="D10" s="51" t="n">
        <v>2989.893744262614</v>
      </c>
      <c r="E10" s="40">
        <f>(C10-B10)+C10</f>
        <v/>
      </c>
      <c r="F10" s="41">
        <f>(C10-D10)/C10</f>
        <v/>
      </c>
      <c r="G10" s="44" t="n">
        <v>226389</v>
      </c>
      <c r="H10" s="43" t="n">
        <v>227991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39808</v>
      </c>
      <c r="N10" s="21" t="n">
        <v>40304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186581</v>
      </c>
      <c r="T10" s="43" t="n">
        <v>187687</v>
      </c>
      <c r="U10" s="16">
        <f>M10-S10</f>
        <v/>
      </c>
      <c r="V10" s="17" t="n">
        <v>44</v>
      </c>
      <c r="W10" s="19">
        <f>T10+U10+V10</f>
        <v/>
      </c>
      <c r="AC10" s="42" t="n">
        <v>226366</v>
      </c>
      <c r="AD10" s="43" t="n">
        <v>227968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1708.518220238051</v>
      </c>
      <c r="C11" s="40" t="n">
        <v>1744.824843444185</v>
      </c>
      <c r="D11" s="51" t="n">
        <v>1746.36910096682</v>
      </c>
      <c r="E11" s="40">
        <f>(C11-B11)+C11</f>
        <v/>
      </c>
      <c r="F11" s="41">
        <f>(C11-D11)/C11</f>
        <v/>
      </c>
      <c r="G11" s="44" t="n">
        <v>201396</v>
      </c>
      <c r="H11" s="43" t="n">
        <v>204062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74553</v>
      </c>
      <c r="N11" s="21" t="n">
        <v>75717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126843</v>
      </c>
      <c r="T11" s="43" t="n">
        <v>128345</v>
      </c>
      <c r="U11" s="16">
        <f>M11-S11</f>
        <v/>
      </c>
      <c r="V11" s="17" t="n">
        <v>53</v>
      </c>
      <c r="W11" s="19">
        <f>T11+U11+V11</f>
        <v/>
      </c>
      <c r="AC11" s="42" t="n">
        <v>201317</v>
      </c>
      <c r="AD11" s="43" t="n">
        <v>203982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3104.214108068035</v>
      </c>
      <c r="C12" s="40" t="n">
        <v>3173.923937282811</v>
      </c>
      <c r="D12" s="51" t="n">
        <v>3170.257745203574</v>
      </c>
      <c r="E12" s="40">
        <f>(C12-B12)+C12</f>
        <v/>
      </c>
      <c r="F12" s="41">
        <f>(C12-D12)/C12</f>
        <v/>
      </c>
      <c r="G12" s="44" t="n">
        <v>306516</v>
      </c>
      <c r="H12" s="43" t="n">
        <v>312587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119834</v>
      </c>
      <c r="N12" s="21" t="n">
        <v>121587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186682</v>
      </c>
      <c r="T12" s="43" t="n">
        <v>191000</v>
      </c>
      <c r="U12" s="16">
        <f>M12-S12</f>
        <v/>
      </c>
      <c r="V12" s="17" t="n">
        <v>64</v>
      </c>
      <c r="W12" s="19">
        <f>T12+U12+V12</f>
        <v/>
      </c>
      <c r="AC12" s="42" t="n">
        <v>306371</v>
      </c>
      <c r="AD12" s="43" t="n">
        <v>312442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892.7088752695413</v>
      </c>
      <c r="C13" s="40" t="n">
        <v>908.1909143072741</v>
      </c>
      <c r="D13" s="51" t="n">
        <v>913.6827437568761</v>
      </c>
      <c r="E13" s="40">
        <f>(C13-B13)+C13</f>
        <v/>
      </c>
      <c r="F13" s="41">
        <f>(C13-D13)/C13</f>
        <v/>
      </c>
      <c r="G13" s="44" t="n">
        <v>78722</v>
      </c>
      <c r="H13" s="43" t="n">
        <v>79830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21894</v>
      </c>
      <c r="N13" s="21" t="n">
        <v>22160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56828</v>
      </c>
      <c r="T13" s="43" t="n">
        <v>57670</v>
      </c>
      <c r="U13" s="16">
        <f>M13-S13</f>
        <v/>
      </c>
      <c r="V13" s="17" t="n">
        <v>36</v>
      </c>
      <c r="W13" s="19">
        <f>T13+U13+V13</f>
        <v/>
      </c>
      <c r="AC13" s="42" t="n">
        <v>78687</v>
      </c>
      <c r="AD13" s="43" t="n">
        <v>79797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3815.940570550623</v>
      </c>
      <c r="C14" s="40" t="n">
        <v>3874.2831978733</v>
      </c>
      <c r="D14" s="51" t="n">
        <v>3885.692383700176</v>
      </c>
      <c r="E14" s="40">
        <f>(C14-B14)+C14</f>
        <v/>
      </c>
      <c r="F14" s="41">
        <f>(C14-D14)/C14</f>
        <v/>
      </c>
      <c r="G14" s="44" t="n">
        <v>262368</v>
      </c>
      <c r="H14" s="43" t="n">
        <v>266370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91938</v>
      </c>
      <c r="N14" s="21" t="n">
        <v>93448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170430</v>
      </c>
      <c r="T14" s="43" t="n">
        <v>172922</v>
      </c>
      <c r="U14" s="16">
        <f>M14-S14</f>
        <v/>
      </c>
      <c r="V14" s="17" t="n">
        <v>50</v>
      </c>
      <c r="W14" s="19">
        <f>T14+U14+V14</f>
        <v/>
      </c>
      <c r="AC14" s="42" t="n">
        <v>262254</v>
      </c>
      <c r="AD14" s="43" t="n">
        <v>266255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2952.500194140771</v>
      </c>
      <c r="C15" s="40" t="n">
        <v>3011.747055461547</v>
      </c>
      <c r="D15" s="51" t="n">
        <v>3011.907387342416</v>
      </c>
      <c r="E15" s="40">
        <f>(C15-B15)+C15</f>
        <v/>
      </c>
      <c r="F15" s="41">
        <f>(C15-D15)/C15</f>
        <v/>
      </c>
      <c r="G15" s="44" t="n">
        <v>253810</v>
      </c>
      <c r="H15" s="43" t="n">
        <v>258354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85316</v>
      </c>
      <c r="N15" s="21" t="n">
        <v>86461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168494</v>
      </c>
      <c r="T15" s="43" t="n">
        <v>171893</v>
      </c>
      <c r="U15" s="16">
        <f>M15-S15</f>
        <v/>
      </c>
      <c r="V15" s="17" t="n">
        <v>53</v>
      </c>
      <c r="W15" s="19">
        <f>T15+U15+V15</f>
        <v/>
      </c>
      <c r="AC15" s="42" t="n">
        <v>253693</v>
      </c>
      <c r="AD15" s="43" t="n">
        <v>258236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520.640486755071</v>
      </c>
      <c r="C16" s="40" t="n">
        <v>530.1301513268039</v>
      </c>
      <c r="D16" s="51" t="n">
        <v>530.9639080371351</v>
      </c>
      <c r="E16" s="40">
        <f>(C16-B16)+C16</f>
        <v/>
      </c>
      <c r="F16" s="41">
        <f>(C16-D16)/C16</f>
        <v/>
      </c>
      <c r="G16" s="44" t="n">
        <v>72093</v>
      </c>
      <c r="H16" s="43" t="n">
        <v>72928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20438</v>
      </c>
      <c r="N16" s="21" t="n">
        <v>20697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51655</v>
      </c>
      <c r="T16" s="43" t="n">
        <v>52231</v>
      </c>
      <c r="U16" s="16">
        <f>M16-S16</f>
        <v/>
      </c>
      <c r="V16" s="17" t="n">
        <v>11</v>
      </c>
      <c r="W16" s="19">
        <f>T16+U16+V16</f>
        <v/>
      </c>
      <c r="AC16" s="42" t="n">
        <v>72072</v>
      </c>
      <c r="AD16" s="43" t="n">
        <v>72906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4876.753021423988</v>
      </c>
      <c r="C17" s="40" t="n">
        <v>4960.181110772975</v>
      </c>
      <c r="D17" s="51" t="n">
        <v>4958.803458242842</v>
      </c>
      <c r="E17" s="40">
        <f>(C17-B17)+C17</f>
        <v/>
      </c>
      <c r="F17" s="41">
        <f>(C17-D17)/C17</f>
        <v/>
      </c>
      <c r="G17" s="44" t="n">
        <v>309184</v>
      </c>
      <c r="H17" s="43" t="n">
        <v>313035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153559</v>
      </c>
      <c r="N17" s="21" t="n">
        <v>155639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155625</v>
      </c>
      <c r="T17" s="43" t="n">
        <v>157396</v>
      </c>
      <c r="U17" s="16">
        <f>M17-S17</f>
        <v/>
      </c>
      <c r="V17" s="17" t="n">
        <v>147</v>
      </c>
      <c r="W17" s="19">
        <f>T17+U17+V17</f>
        <v/>
      </c>
      <c r="AC17" s="42" t="n">
        <v>309049</v>
      </c>
      <c r="AD17" s="43" t="n">
        <v>312899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1625.997417496433</v>
      </c>
      <c r="C18" s="40" t="n">
        <v>1647.406928762369</v>
      </c>
      <c r="D18" s="51" t="n">
        <v>1649.775563372141</v>
      </c>
      <c r="E18" s="40">
        <f>(C18-B18)+C18</f>
        <v/>
      </c>
      <c r="F18" s="41">
        <f>(C18-D18)/C18</f>
        <v/>
      </c>
      <c r="G18" s="44" t="n">
        <v>283265</v>
      </c>
      <c r="H18" s="43" t="n">
        <v>284745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38178</v>
      </c>
      <c r="N18" s="21" t="n">
        <v>38762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245087</v>
      </c>
      <c r="T18" s="43" t="n">
        <v>245983</v>
      </c>
      <c r="U18" s="16">
        <f>M18-S18</f>
        <v/>
      </c>
      <c r="V18" s="17" t="n">
        <v>28</v>
      </c>
      <c r="W18" s="19">
        <f>T18+U18+V18</f>
        <v/>
      </c>
      <c r="AC18" s="42" t="n">
        <v>283157</v>
      </c>
      <c r="AD18" s="43" t="n">
        <v>284636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1631.372499699316</v>
      </c>
      <c r="C19" s="40" t="n">
        <v>1657.045031256897</v>
      </c>
      <c r="D19" s="51" t="n">
        <v>1663.974427357873</v>
      </c>
      <c r="E19" s="40">
        <f>(C19-B19)+C19</f>
        <v/>
      </c>
      <c r="F19" s="41">
        <f>(C19-D19)/C19</f>
        <v/>
      </c>
      <c r="G19" s="44" t="n">
        <v>125285</v>
      </c>
      <c r="H19" s="43" t="n">
        <v>127938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43282</v>
      </c>
      <c r="N19" s="21" t="n">
        <v>43948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82003</v>
      </c>
      <c r="T19" s="43" t="n">
        <v>83990</v>
      </c>
      <c r="U19" s="16">
        <f>M19-S19</f>
        <v/>
      </c>
      <c r="V19" s="17" t="n">
        <v>60</v>
      </c>
      <c r="W19" s="19">
        <f>T19+U19+V19</f>
        <v/>
      </c>
      <c r="AC19" s="42" t="n">
        <v>125211</v>
      </c>
      <c r="AD19" s="43" t="n">
        <v>127864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645.0200704392565</v>
      </c>
      <c r="C20" s="40" t="n">
        <v>658.2760085618014</v>
      </c>
      <c r="D20" s="51" t="n">
        <v>659.1516562196925</v>
      </c>
      <c r="E20" s="40">
        <f>(C20-B20)+C20</f>
        <v/>
      </c>
      <c r="F20" s="41">
        <f>(C20-D20)/C20</f>
        <v/>
      </c>
      <c r="G20" s="44" t="n">
        <v>76223</v>
      </c>
      <c r="H20" s="43" t="n">
        <v>77199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22815</v>
      </c>
      <c r="N20" s="21" t="n">
        <v>23104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53408</v>
      </c>
      <c r="T20" s="43" t="n">
        <v>54095</v>
      </c>
      <c r="U20" s="16">
        <f>M20-S20</f>
        <v/>
      </c>
      <c r="V20" s="17" t="n">
        <v>24</v>
      </c>
      <c r="W20" s="19">
        <f>T20+U20+V20</f>
        <v/>
      </c>
      <c r="AC20" s="42" t="n">
        <v>76170</v>
      </c>
      <c r="AD20" s="43" t="n">
        <v>77146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231.741958913078</v>
      </c>
      <c r="C21" s="40" t="n">
        <v>237.2474381555497</v>
      </c>
      <c r="D21" s="51" t="n">
        <v>238.4077444994406</v>
      </c>
      <c r="E21" s="40">
        <f>(C21-B21)+C21</f>
        <v/>
      </c>
      <c r="F21" s="41">
        <f>(C21-D21)/C21</f>
        <v/>
      </c>
      <c r="G21" s="25" t="n">
        <v>22566</v>
      </c>
      <c r="H21" s="21" t="n">
        <v>22830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9386</v>
      </c>
      <c r="N21" s="21" t="n">
        <v>9495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13180</v>
      </c>
      <c r="T21" s="43" t="n">
        <v>13335</v>
      </c>
      <c r="U21" s="16">
        <f>M21-S21</f>
        <v/>
      </c>
      <c r="V21" s="17" t="n">
        <v>25</v>
      </c>
      <c r="W21" s="19">
        <f>T21+U21+V21</f>
        <v/>
      </c>
      <c r="AC21" s="25" t="n">
        <v>22553</v>
      </c>
      <c r="AD21" s="21" t="n">
        <v>22817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126.4277735828403</v>
      </c>
      <c r="C22" s="40" t="n">
        <v>129.0404781729278</v>
      </c>
      <c r="D22" s="51" t="n">
        <v>130.2647088824614</v>
      </c>
      <c r="E22" s="40">
        <f>(C22-B22)+C22</f>
        <v/>
      </c>
      <c r="F22" s="41">
        <f>(C22-D22)/C22</f>
        <v/>
      </c>
      <c r="G22" s="44" t="n">
        <v>11161</v>
      </c>
      <c r="H22" s="43" t="n">
        <v>11294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4286</v>
      </c>
      <c r="N22" s="21" t="n">
        <v>4346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6875</v>
      </c>
      <c r="T22" s="43" t="n">
        <v>6948</v>
      </c>
      <c r="U22" s="16">
        <f>M22-S22</f>
        <v/>
      </c>
      <c r="V22" s="17" t="n">
        <v>6</v>
      </c>
      <c r="W22" s="19">
        <f>T22+U22+V22</f>
        <v/>
      </c>
      <c r="AC22" s="42" t="n">
        <v>11144</v>
      </c>
      <c r="AD22" s="43" t="n">
        <v>11277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3613.16236996295</v>
      </c>
      <c r="C23" s="40" t="n">
        <v>3687.284248897663</v>
      </c>
      <c r="D23" s="51" t="n">
        <v>3688.516617461145</v>
      </c>
      <c r="E23" s="40">
        <f>(C23-B23)+C23</f>
        <v/>
      </c>
      <c r="F23" s="41">
        <f>(C23-D23)/C23</f>
        <v/>
      </c>
      <c r="G23" s="44" t="n">
        <v>398398</v>
      </c>
      <c r="H23" s="43" t="n">
        <v>402583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164543</v>
      </c>
      <c r="N23" s="21" t="n">
        <v>166604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233855</v>
      </c>
      <c r="T23" s="43" t="n">
        <v>235979</v>
      </c>
      <c r="U23" s="16">
        <f>M23-S23</f>
        <v/>
      </c>
      <c r="V23" s="17" t="n">
        <v>55</v>
      </c>
      <c r="W23" s="19">
        <f>T23+U23+V23</f>
        <v/>
      </c>
      <c r="AC23" s="42" t="n">
        <v>398287</v>
      </c>
      <c r="AD23" s="43" t="n">
        <v>402471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871.5928865735058</v>
      </c>
      <c r="C24" s="40" t="n">
        <v>888.8949806127496</v>
      </c>
      <c r="D24" s="51" t="n">
        <v>891.5189561990708</v>
      </c>
      <c r="E24" s="40">
        <f>(C24-B24)+C24</f>
        <v/>
      </c>
      <c r="F24" s="41">
        <f>(C24-D24)/C24</f>
        <v/>
      </c>
      <c r="G24" s="44" t="n">
        <v>97029</v>
      </c>
      <c r="H24" s="43" t="n">
        <v>98152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37693</v>
      </c>
      <c r="N24" s="21" t="n">
        <v>38135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59336</v>
      </c>
      <c r="T24" s="43" t="n">
        <v>60017</v>
      </c>
      <c r="U24" s="16">
        <f>M24-S24</f>
        <v/>
      </c>
      <c r="V24" s="17" t="n">
        <v>19</v>
      </c>
      <c r="W24" s="19">
        <f>T24+U24+V24</f>
        <v/>
      </c>
      <c r="AC24" s="42" t="n">
        <v>96988</v>
      </c>
      <c r="AD24" s="43" t="n">
        <v>98111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1111.741109387545</v>
      </c>
      <c r="C25" s="40" t="n">
        <v>1133.178223189368</v>
      </c>
      <c r="D25" s="51" t="n">
        <v>1134.316365183909</v>
      </c>
      <c r="E25" s="40">
        <f>(C25-B25)+C25</f>
        <v/>
      </c>
      <c r="F25" s="41">
        <f>(C25-D25)/C25</f>
        <v/>
      </c>
      <c r="G25" s="44" t="n">
        <v>147252</v>
      </c>
      <c r="H25" s="43" t="n">
        <v>148484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39830</v>
      </c>
      <c r="N25" s="21" t="n">
        <v>40350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107422</v>
      </c>
      <c r="T25" s="43" t="n">
        <v>108134</v>
      </c>
      <c r="U25" s="16">
        <f>M25-S25</f>
        <v/>
      </c>
      <c r="V25" s="17" t="n">
        <v>20</v>
      </c>
      <c r="W25" s="19">
        <f>T25+U25+V25</f>
        <v/>
      </c>
      <c r="AC25" s="42" t="n">
        <v>147217</v>
      </c>
      <c r="AD25" s="43" t="n">
        <v>148449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9318.914546324804</v>
      </c>
      <c r="C26" s="40" t="n">
        <v>9662.575495942623</v>
      </c>
      <c r="D26" s="51" t="n">
        <v>9593.976711786618</v>
      </c>
      <c r="E26" s="40">
        <f>(C26-B26)+C26</f>
        <v/>
      </c>
      <c r="F26" s="41">
        <f>(C26-D26)/C26</f>
        <v/>
      </c>
      <c r="G26" s="44" t="n">
        <v>164334</v>
      </c>
      <c r="H26" s="43" t="n">
        <v>166383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151002</v>
      </c>
      <c r="N26" s="21" t="n">
        <v>152872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13332</v>
      </c>
      <c r="T26" s="43" t="n">
        <v>13511</v>
      </c>
      <c r="U26" s="16">
        <f>M26-S26</f>
        <v/>
      </c>
      <c r="V26" s="17" t="n">
        <v>9</v>
      </c>
      <c r="W26" s="19">
        <f>T26+U26+V26</f>
        <v/>
      </c>
      <c r="AC26" s="42" t="n">
        <v>164163</v>
      </c>
      <c r="AD26" s="43" t="n">
        <v>166210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4486.417590850524</v>
      </c>
      <c r="C27" s="40" t="n">
        <v>4564.949706844195</v>
      </c>
      <c r="D27" s="51" t="n">
        <v>4560.775721840379</v>
      </c>
      <c r="E27" s="40">
        <f>(C27-B27)+C27</f>
        <v/>
      </c>
      <c r="F27" s="41">
        <f>(C27-D27)/C27</f>
        <v/>
      </c>
      <c r="G27" s="44" t="n">
        <v>279318</v>
      </c>
      <c r="H27" s="43" t="n">
        <v>282784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143959</v>
      </c>
      <c r="N27" s="21" t="n">
        <v>145980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135359</v>
      </c>
      <c r="T27" s="43" t="n">
        <v>136804</v>
      </c>
      <c r="U27" s="16">
        <f>M27-S27</f>
        <v/>
      </c>
      <c r="V27" s="17" t="n">
        <v>60</v>
      </c>
      <c r="W27" s="19">
        <f>T27+U27+V27</f>
        <v/>
      </c>
      <c r="AC27" s="42" t="n">
        <v>279158</v>
      </c>
      <c r="AD27" s="43" t="n">
        <v>282624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1465.017639940352</v>
      </c>
      <c r="C28" s="40" t="n">
        <v>1486.602124898692</v>
      </c>
      <c r="D28" s="51" t="n">
        <v>1484.392038775871</v>
      </c>
      <c r="E28" s="40">
        <f>(C28-B28)+C28</f>
        <v/>
      </c>
      <c r="F28" s="41">
        <f>(C28-D28)/C28</f>
        <v/>
      </c>
      <c r="G28" s="44" t="n">
        <v>44453</v>
      </c>
      <c r="H28" s="43" t="n">
        <v>45077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26885</v>
      </c>
      <c r="N28" s="21" t="n">
        <v>27235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17568</v>
      </c>
      <c r="T28" s="43" t="n">
        <v>17842</v>
      </c>
      <c r="U28" s="16">
        <f>M28-S28</f>
        <v/>
      </c>
      <c r="V28" s="17" t="n">
        <v>6</v>
      </c>
      <c r="W28" s="19">
        <f>T28+U28+V28</f>
        <v/>
      </c>
      <c r="AC28" s="42" t="n">
        <v>44422</v>
      </c>
      <c r="AD28" s="43" t="n">
        <v>45046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48.2287838958647</v>
      </c>
      <c r="C29" s="40" t="n">
        <v>49.20119211368618</v>
      </c>
      <c r="D29" s="51" t="n">
        <v>49.45813031481816</v>
      </c>
      <c r="E29" s="40">
        <f>(C29-B29)+C29</f>
        <v/>
      </c>
      <c r="F29" s="41">
        <f>(C29-D29)/C29</f>
        <v/>
      </c>
      <c r="G29" s="44" t="n">
        <v>3364</v>
      </c>
      <c r="H29" s="43" t="n">
        <v>3404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1258</v>
      </c>
      <c r="N29" s="21" t="n">
        <v>1273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2106</v>
      </c>
      <c r="T29" s="43" t="n">
        <v>2131</v>
      </c>
      <c r="U29" s="16">
        <f>M29-S29</f>
        <v/>
      </c>
      <c r="V29" s="17" t="n">
        <v>1</v>
      </c>
      <c r="W29" s="19">
        <f>T29+U29+V29</f>
        <v/>
      </c>
      <c r="AC29" s="42" t="n">
        <v>3358</v>
      </c>
      <c r="AD29" s="43" t="n">
        <v>3398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870.6140654343285</v>
      </c>
      <c r="C30" s="40" t="n">
        <v>888.2079941631475</v>
      </c>
      <c r="D30" s="51" t="n">
        <v>892.5246253431434</v>
      </c>
      <c r="E30" s="40">
        <f>(C30-B30)+C30</f>
        <v/>
      </c>
      <c r="F30" s="41">
        <f>(C30-D30)/C30</f>
        <v/>
      </c>
      <c r="G30" s="44" t="n">
        <v>83234</v>
      </c>
      <c r="H30" s="43" t="n">
        <v>84300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21383</v>
      </c>
      <c r="N30" s="21" t="n">
        <v>21702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61851</v>
      </c>
      <c r="T30" s="43" t="n">
        <v>62598</v>
      </c>
      <c r="U30" s="16">
        <f>M30-S30</f>
        <v/>
      </c>
      <c r="V30" s="17" t="n">
        <v>29</v>
      </c>
      <c r="W30" s="19">
        <f>T30+U30+V30</f>
        <v/>
      </c>
      <c r="AC30" s="42" t="n">
        <v>83201</v>
      </c>
      <c r="AD30" s="43" t="n">
        <v>84267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1719.814904691777</v>
      </c>
      <c r="C31" s="40" t="n">
        <v>1747.14179060068</v>
      </c>
      <c r="D31" s="51" t="n">
        <v>1754.476256899263</v>
      </c>
      <c r="E31" s="40">
        <f>(C31-B31)+C31</f>
        <v/>
      </c>
      <c r="F31" s="41">
        <f>(C31-D31)/C31</f>
        <v/>
      </c>
      <c r="G31" s="44" t="n">
        <v>165866</v>
      </c>
      <c r="H31" s="43" t="n">
        <v>168209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57492</v>
      </c>
      <c r="N31" s="21" t="n">
        <v>58241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108374</v>
      </c>
      <c r="T31" s="43" t="n">
        <v>109968</v>
      </c>
      <c r="U31" s="16">
        <f>M31-S31</f>
        <v/>
      </c>
      <c r="V31" s="17" t="n">
        <v>45</v>
      </c>
      <c r="W31" s="19">
        <f>T31+U31+V31</f>
        <v/>
      </c>
      <c r="AC31" s="42" t="n">
        <v>165790</v>
      </c>
      <c r="AD31" s="43" t="n">
        <v>168133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8627.31097905975</v>
      </c>
      <c r="C32" s="40" t="n">
        <v>8752.583149602331</v>
      </c>
      <c r="D32" s="51" t="n">
        <v>8755.222208118634</v>
      </c>
      <c r="E32" s="40">
        <f>(C32-B32)+C32</f>
        <v/>
      </c>
      <c r="F32" s="41">
        <f>(C32-D32)/C32</f>
        <v/>
      </c>
      <c r="G32" s="44" t="n">
        <v>336347</v>
      </c>
      <c r="H32" s="43" t="n">
        <v>341207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175053</v>
      </c>
      <c r="N32" s="21" t="n">
        <v>177728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161294</v>
      </c>
      <c r="T32" s="43" t="n">
        <v>163479</v>
      </c>
      <c r="U32" s="16">
        <f>M32-S32</f>
        <v/>
      </c>
      <c r="V32" s="17" t="n">
        <v>56</v>
      </c>
      <c r="W32" s="19">
        <f>T32+U32+V32</f>
        <v/>
      </c>
      <c r="AC32" s="42" t="n">
        <v>336190</v>
      </c>
      <c r="AD32" s="43" t="n">
        <v>341050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2108.944710364075</v>
      </c>
      <c r="C33" s="40" t="n">
        <v>2140.457600927221</v>
      </c>
      <c r="D33" s="51" t="n">
        <v>2141.046030752081</v>
      </c>
      <c r="E33" s="40">
        <f>(C33-B33)+C33</f>
        <v/>
      </c>
      <c r="F33" s="41">
        <f>(C33-D33)/C33</f>
        <v/>
      </c>
      <c r="G33" s="44" t="n">
        <v>101693</v>
      </c>
      <c r="H33" s="43" t="n">
        <v>103290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56269</v>
      </c>
      <c r="N33" s="21" t="n">
        <v>57108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45424</v>
      </c>
      <c r="T33" s="43" t="n">
        <v>46182</v>
      </c>
      <c r="U33" s="16">
        <f>M33-S33</f>
        <v/>
      </c>
      <c r="V33" s="17" t="n">
        <v>15</v>
      </c>
      <c r="W33" s="19">
        <f>T33+U33+V33</f>
        <v/>
      </c>
      <c r="AC33" s="42" t="n">
        <v>101637</v>
      </c>
      <c r="AD33" s="43" t="n">
        <v>103234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4812933.329511005</v>
      </c>
      <c r="C34" s="28" t="n">
        <v>5059459.112483429</v>
      </c>
      <c r="D34" s="53" t="n">
        <v>5055286.008223373</v>
      </c>
      <c r="E34" s="28">
        <f>(C34-B34)+C34</f>
        <v/>
      </c>
      <c r="F34" s="30">
        <f>(C34-D34)/C34</f>
        <v/>
      </c>
      <c r="G34" s="26" t="n">
        <v>49358225</v>
      </c>
      <c r="H34" s="31" t="n">
        <v>50506644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2801466</v>
      </c>
      <c r="N34" s="33" t="n">
        <v>2839722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3768526</v>
      </c>
      <c r="T34" s="31" t="n">
        <v>3814539</v>
      </c>
      <c r="U34" s="31" t="n">
        <v>240028</v>
      </c>
      <c r="V34" s="31" t="n">
        <v>1244</v>
      </c>
      <c r="W34" s="31">
        <f>T34+U34+V34</f>
        <v/>
      </c>
      <c r="X34" s="32" t="n">
        <v>42788233</v>
      </c>
      <c r="Y34" s="34" t="n">
        <v>43852383</v>
      </c>
      <c r="Z34" s="34" t="n">
        <v>4986</v>
      </c>
      <c r="AA34" s="34" t="n">
        <v>272</v>
      </c>
      <c r="AB34" s="34">
        <f>Y34+Z34+AA34</f>
        <v/>
      </c>
      <c r="AC34" s="35" t="n">
        <v>6566317</v>
      </c>
      <c r="AD34" s="31" t="n">
        <v>6650575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37832</v>
      </c>
      <c r="E39" s="17">
        <f>D39+C39</f>
        <v/>
      </c>
    </row>
    <row r="42">
      <c r="A42" s="9" t="n"/>
      <c r="B42" s="54" t="n"/>
    </row>
    <row r="44">
      <c r="A44" s="9" t="n"/>
    </row>
    <row r="45">
      <c r="A45" s="9" t="n"/>
      <c r="B45" s="54" t="n"/>
      <c r="E45" s="9" t="n"/>
    </row>
    <row r="47">
      <c r="A47" s="9" t="n"/>
      <c r="B47" s="54" t="n"/>
      <c r="E47" s="9" t="n"/>
    </row>
    <row r="49">
      <c r="A49" s="9" t="n"/>
      <c r="B49" s="54" t="n"/>
      <c r="E49" s="9" t="n"/>
    </row>
    <row r="51">
      <c r="A51" s="9" t="n"/>
      <c r="B51" s="54" t="n"/>
      <c r="E51" s="9" t="n"/>
    </row>
    <row r="53">
      <c r="A53" s="9" t="n"/>
      <c r="B53" s="54" t="n"/>
      <c r="E53" s="9" t="n"/>
    </row>
    <row r="55">
      <c r="A55" s="9" t="n"/>
      <c r="B55" s="54" t="n"/>
      <c r="E55" s="9" t="n"/>
    </row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2256.08534729082</v>
      </c>
      <c r="C3" s="40" t="n">
        <v>2286.052291978329</v>
      </c>
      <c r="D3" s="51" t="n">
        <v>2292.71288509104</v>
      </c>
      <c r="E3" s="40">
        <f>(C3-B3)+C3</f>
        <v/>
      </c>
      <c r="F3" s="41">
        <f>(C3-D3)/C3</f>
        <v/>
      </c>
      <c r="G3" s="44" t="n">
        <v>171619</v>
      </c>
      <c r="H3" s="43" t="n">
        <v>173511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78807</v>
      </c>
      <c r="N3" s="21" t="n">
        <v>79636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92812</v>
      </c>
      <c r="T3" s="43" t="n">
        <v>93875</v>
      </c>
      <c r="U3" s="16">
        <f>M3-S3</f>
        <v/>
      </c>
      <c r="V3" s="17" t="n">
        <v>36</v>
      </c>
      <c r="W3" s="19">
        <f>T3+U3+V3</f>
        <v/>
      </c>
      <c r="AC3" s="42" t="n">
        <v>171542</v>
      </c>
      <c r="AD3" s="43" t="n"/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106366.7086179557</v>
      </c>
      <c r="C4" s="40" t="n">
        <v>108907.0393886133</v>
      </c>
      <c r="D4" s="51" t="n">
        <v>110297.2434961376</v>
      </c>
      <c r="E4" s="40">
        <f>(C4-B4)+C4</f>
        <v/>
      </c>
      <c r="F4" s="41">
        <f>(C4-D4)/C4</f>
        <v/>
      </c>
      <c r="G4" s="44" t="n">
        <v>185655</v>
      </c>
      <c r="H4" s="43" t="n">
        <v>186922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177322</v>
      </c>
      <c r="N4" s="21" t="n">
        <v>178482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8333</v>
      </c>
      <c r="T4" s="43" t="n">
        <v>8440</v>
      </c>
      <c r="U4" s="16">
        <f>M4-S4</f>
        <v/>
      </c>
      <c r="V4" s="17" t="n">
        <v>6</v>
      </c>
      <c r="W4" s="19">
        <f>T4+U4+V4</f>
        <v/>
      </c>
      <c r="AC4" s="42" t="n">
        <v>185287</v>
      </c>
      <c r="AD4" s="43" t="n"/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3021.577162259626</v>
      </c>
      <c r="C5" s="40" t="n">
        <v>3061.315451473818</v>
      </c>
      <c r="D5" s="51" t="n">
        <v>3070.259814631602</v>
      </c>
      <c r="E5" s="40">
        <f>(C5-B5)+C5</f>
        <v/>
      </c>
      <c r="F5" s="41">
        <f>(C5-D5)/C5</f>
        <v/>
      </c>
      <c r="G5" s="44" t="n">
        <v>343286</v>
      </c>
      <c r="H5" s="43" t="n">
        <v>346551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104013</v>
      </c>
      <c r="N5" s="21" t="n">
        <v>104843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239273</v>
      </c>
      <c r="T5" s="43" t="n">
        <v>241708</v>
      </c>
      <c r="U5" s="16">
        <f>M5-S5</f>
        <v/>
      </c>
      <c r="V5" s="17" t="n">
        <v>38</v>
      </c>
      <c r="W5" s="19">
        <f>T5+U5+V5</f>
        <v/>
      </c>
      <c r="AC5" s="42" t="n">
        <v>343167</v>
      </c>
      <c r="AD5" s="43" t="n"/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492.3771101590755</v>
      </c>
      <c r="C6" s="40" t="n">
        <v>501.1938901825128</v>
      </c>
      <c r="D6" s="51" t="n">
        <v>502.1570146713054</v>
      </c>
      <c r="E6" s="40">
        <f>(C6-B6)+C6</f>
        <v/>
      </c>
      <c r="F6" s="41">
        <f>(C6-D6)/C6</f>
        <v/>
      </c>
      <c r="G6" s="25" t="n">
        <v>56910</v>
      </c>
      <c r="H6" s="21" t="n">
        <v>57440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22109</v>
      </c>
      <c r="N6" s="21" t="n">
        <v>22333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34801</v>
      </c>
      <c r="T6" s="43" t="n">
        <v>35107</v>
      </c>
      <c r="U6" s="16">
        <f>M6-S6</f>
        <v/>
      </c>
      <c r="V6" s="17" t="n">
        <v>4</v>
      </c>
      <c r="W6" s="19">
        <f>T6+U6+V6</f>
        <v/>
      </c>
      <c r="AC6" s="25" t="n">
        <v>56893</v>
      </c>
      <c r="AD6" s="21" t="n"/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15085.84280813934</v>
      </c>
      <c r="C7" s="40" t="n">
        <v>15288.82348612037</v>
      </c>
      <c r="D7" s="51" t="n">
        <v>15353.58119012416</v>
      </c>
      <c r="E7" s="40">
        <f>(C7-B7)+C7</f>
        <v/>
      </c>
      <c r="F7" s="41">
        <f>(C7-D7)/C7</f>
        <v/>
      </c>
      <c r="G7" s="44" t="n">
        <v>810129</v>
      </c>
      <c r="H7" s="43" t="n">
        <v>821780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427106</v>
      </c>
      <c r="N7" s="21" t="n">
        <v>432266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383023</v>
      </c>
      <c r="T7" s="43" t="n">
        <v>389514</v>
      </c>
      <c r="U7" s="16">
        <f>M7-S7</f>
        <v/>
      </c>
      <c r="V7" s="17" t="n">
        <v>96</v>
      </c>
      <c r="W7" s="19">
        <f>T7+U7+V7</f>
        <v/>
      </c>
      <c r="AC7" s="42" t="n">
        <v>809678</v>
      </c>
      <c r="AD7" s="43" t="n"/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1777.983878358051</v>
      </c>
      <c r="C8" s="40" t="n">
        <v>1799.373516822551</v>
      </c>
      <c r="D8" s="51" t="n">
        <v>1813.038363923589</v>
      </c>
      <c r="E8" s="40">
        <f>(C8-B8)+C8</f>
        <v/>
      </c>
      <c r="F8" s="41">
        <f>(C8-D8)/C8</f>
        <v/>
      </c>
      <c r="G8" s="44" t="n">
        <v>139630</v>
      </c>
      <c r="H8" s="43" t="n">
        <v>141048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57168</v>
      </c>
      <c r="N8" s="21" t="n">
        <v>57686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82462</v>
      </c>
      <c r="T8" s="43" t="n">
        <v>83362</v>
      </c>
      <c r="U8" s="16">
        <f>M8-S8</f>
        <v/>
      </c>
      <c r="V8" s="17" t="n">
        <v>23</v>
      </c>
      <c r="W8" s="19">
        <f>T8+U8+V8</f>
        <v/>
      </c>
      <c r="AC8" s="42" t="n">
        <v>139563</v>
      </c>
      <c r="AD8" s="43" t="n"/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2680.032417145844</v>
      </c>
      <c r="C9" s="40" t="n">
        <v>2697.174513313747</v>
      </c>
      <c r="D9" s="51" t="n">
        <v>2696.61187693322</v>
      </c>
      <c r="E9" s="40">
        <f>(C9-B9)+C9</f>
        <v/>
      </c>
      <c r="F9" s="41">
        <f>(C9-D9)/C9</f>
        <v/>
      </c>
      <c r="G9" s="44" t="n">
        <v>96047</v>
      </c>
      <c r="H9" s="43" t="n">
        <v>97230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42741</v>
      </c>
      <c r="N9" s="21" t="n">
        <v>43150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53306</v>
      </c>
      <c r="T9" s="43" t="n">
        <v>54080</v>
      </c>
      <c r="U9" s="16">
        <f>M9-S9</f>
        <v/>
      </c>
      <c r="V9" s="17" t="n">
        <v>27</v>
      </c>
      <c r="W9" s="19">
        <f>T9+U9+V9</f>
        <v/>
      </c>
      <c r="AC9" s="42" t="n">
        <v>96008</v>
      </c>
      <c r="AD9" s="43" t="n"/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2988.83326624576</v>
      </c>
      <c r="C10" s="40" t="n">
        <v>3015.266081682379</v>
      </c>
      <c r="D10" s="51" t="n">
        <v>3032.553160953359</v>
      </c>
      <c r="E10" s="40">
        <f>(C10-B10)+C10</f>
        <v/>
      </c>
      <c r="F10" s="41">
        <f>(C10-D10)/C10</f>
        <v/>
      </c>
      <c r="G10" s="44" t="n">
        <v>227991</v>
      </c>
      <c r="H10" s="43" t="n">
        <v>229838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40304</v>
      </c>
      <c r="N10" s="21" t="n">
        <v>40542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187687</v>
      </c>
      <c r="T10" s="43" t="n">
        <v>189296</v>
      </c>
      <c r="U10" s="16">
        <f>M10-S10</f>
        <v/>
      </c>
      <c r="V10" s="17" t="n">
        <v>44</v>
      </c>
      <c r="W10" s="19">
        <f>T10+U10+V10</f>
        <v/>
      </c>
      <c r="AC10" s="42" t="n">
        <v>227968</v>
      </c>
      <c r="AD10" s="43" t="n"/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1744.824843444185</v>
      </c>
      <c r="C11" s="40" t="n">
        <v>1775.492441540142</v>
      </c>
      <c r="D11" s="51" t="n">
        <v>1781.131466650319</v>
      </c>
      <c r="E11" s="40">
        <f>(C11-B11)+C11</f>
        <v/>
      </c>
      <c r="F11" s="41">
        <f>(C11-D11)/C11</f>
        <v/>
      </c>
      <c r="G11" s="44" t="n">
        <v>204062</v>
      </c>
      <c r="H11" s="43" t="n">
        <v>206273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75717</v>
      </c>
      <c r="N11" s="21" t="n">
        <v>76536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128345</v>
      </c>
      <c r="T11" s="43" t="n">
        <v>129737</v>
      </c>
      <c r="U11" s="16">
        <f>M11-S11</f>
        <v/>
      </c>
      <c r="V11" s="17" t="n">
        <v>53</v>
      </c>
      <c r="W11" s="19">
        <f>T11+U11+V11</f>
        <v/>
      </c>
      <c r="AC11" s="42" t="n">
        <v>203982</v>
      </c>
      <c r="AD11" s="43" t="n"/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3173.923937282811</v>
      </c>
      <c r="C12" s="40" t="n">
        <v>3222.10452238372</v>
      </c>
      <c r="D12" s="51" t="n">
        <v>3243.633766497586</v>
      </c>
      <c r="E12" s="40">
        <f>(C12-B12)+C12</f>
        <v/>
      </c>
      <c r="F12" s="41">
        <f>(C12-D12)/C12</f>
        <v/>
      </c>
      <c r="G12" s="44" t="n">
        <v>312587</v>
      </c>
      <c r="H12" s="43" t="n">
        <v>317285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121587</v>
      </c>
      <c r="N12" s="21" t="n">
        <v>123014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191000</v>
      </c>
      <c r="T12" s="43" t="n">
        <v>194271</v>
      </c>
      <c r="U12" s="16">
        <f>M12-S12</f>
        <v/>
      </c>
      <c r="V12" s="17" t="n">
        <v>64</v>
      </c>
      <c r="W12" s="19">
        <f>T12+U12+V12</f>
        <v/>
      </c>
      <c r="AC12" s="42" t="n">
        <v>312442</v>
      </c>
      <c r="AD12" s="43" t="n"/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908.1909143072741</v>
      </c>
      <c r="C13" s="40" t="n">
        <v>922.4314671938639</v>
      </c>
      <c r="D13" s="51" t="n">
        <v>923.6729533450068</v>
      </c>
      <c r="E13" s="40">
        <f>(C13-B13)+C13</f>
        <v/>
      </c>
      <c r="F13" s="41">
        <f>(C13-D13)/C13</f>
        <v/>
      </c>
      <c r="G13" s="44" t="n">
        <v>79830</v>
      </c>
      <c r="H13" s="43" t="n">
        <v>80653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22160</v>
      </c>
      <c r="N13" s="21" t="n">
        <v>22425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57670</v>
      </c>
      <c r="T13" s="43" t="n">
        <v>58228</v>
      </c>
      <c r="U13" s="16">
        <f>M13-S13</f>
        <v/>
      </c>
      <c r="V13" s="17" t="n">
        <v>36</v>
      </c>
      <c r="W13" s="19">
        <f>T13+U13+V13</f>
        <v/>
      </c>
      <c r="AC13" s="42" t="n">
        <v>79797</v>
      </c>
      <c r="AD13" s="43" t="n"/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3874.2831978733</v>
      </c>
      <c r="C14" s="40" t="n">
        <v>3920.984795957306</v>
      </c>
      <c r="D14" s="51" t="n">
        <v>3932.625825195978</v>
      </c>
      <c r="E14" s="40">
        <f>(C14-B14)+C14</f>
        <v/>
      </c>
      <c r="F14" s="41">
        <f>(C14-D14)/C14</f>
        <v/>
      </c>
      <c r="G14" s="44" t="n">
        <v>266370</v>
      </c>
      <c r="H14" s="43" t="n">
        <v>270103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93448</v>
      </c>
      <c r="N14" s="21" t="n">
        <v>94691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172922</v>
      </c>
      <c r="T14" s="43" t="n">
        <v>175412</v>
      </c>
      <c r="U14" s="16">
        <f>M14-S14</f>
        <v/>
      </c>
      <c r="V14" s="17" t="n">
        <v>50</v>
      </c>
      <c r="W14" s="19">
        <f>T14+U14+V14</f>
        <v/>
      </c>
      <c r="AC14" s="42" t="n">
        <v>266255</v>
      </c>
      <c r="AD14" s="43" t="n"/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3011.747055461547</v>
      </c>
      <c r="C15" s="40" t="n">
        <v>3062.630815201675</v>
      </c>
      <c r="D15" s="51" t="n">
        <v>3070.993916782323</v>
      </c>
      <c r="E15" s="40">
        <f>(C15-B15)+C15</f>
        <v/>
      </c>
      <c r="F15" s="41">
        <f>(C15-D15)/C15</f>
        <v/>
      </c>
      <c r="G15" s="44" t="n">
        <v>258354</v>
      </c>
      <c r="H15" s="43" t="n">
        <v>262137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86461</v>
      </c>
      <c r="N15" s="21" t="n">
        <v>87283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171893</v>
      </c>
      <c r="T15" s="43" t="n">
        <v>174854</v>
      </c>
      <c r="U15" s="16">
        <f>M15-S15</f>
        <v/>
      </c>
      <c r="V15" s="17" t="n">
        <v>53</v>
      </c>
      <c r="W15" s="19">
        <f>T15+U15+V15</f>
        <v/>
      </c>
      <c r="AC15" s="42" t="n">
        <v>258236</v>
      </c>
      <c r="AD15" s="43" t="n"/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530.1301513268039</v>
      </c>
      <c r="C16" s="40" t="n">
        <v>538.3627365477182</v>
      </c>
      <c r="D16" s="51" t="n">
        <v>539.6198158985368</v>
      </c>
      <c r="E16" s="40">
        <f>(C16-B16)+C16</f>
        <v/>
      </c>
      <c r="F16" s="41">
        <f>(C16-D16)/C16</f>
        <v/>
      </c>
      <c r="G16" s="44" t="n">
        <v>72928</v>
      </c>
      <c r="H16" s="43" t="n">
        <v>73633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20697</v>
      </c>
      <c r="N16" s="21" t="n">
        <v>20897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52231</v>
      </c>
      <c r="T16" s="43" t="n">
        <v>52736</v>
      </c>
      <c r="U16" s="16">
        <f>M16-S16</f>
        <v/>
      </c>
      <c r="V16" s="17" t="n">
        <v>11</v>
      </c>
      <c r="W16" s="19">
        <f>T16+U16+V16</f>
        <v/>
      </c>
      <c r="AC16" s="42" t="n">
        <v>72906</v>
      </c>
      <c r="AD16" s="43" t="n"/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4960.181110772975</v>
      </c>
      <c r="C17" s="40" t="n">
        <v>5025.468151998448</v>
      </c>
      <c r="D17" s="51" t="n">
        <v>5043.609200121963</v>
      </c>
      <c r="E17" s="40">
        <f>(C17-B17)+C17</f>
        <v/>
      </c>
      <c r="F17" s="41">
        <f>(C17-D17)/C17</f>
        <v/>
      </c>
      <c r="G17" s="44" t="n">
        <v>313035</v>
      </c>
      <c r="H17" s="43" t="n">
        <v>316237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155639</v>
      </c>
      <c r="N17" s="21" t="n">
        <v>157166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157396</v>
      </c>
      <c r="T17" s="43" t="n">
        <v>159071</v>
      </c>
      <c r="U17" s="16">
        <f>M17-S17</f>
        <v/>
      </c>
      <c r="V17" s="17" t="n">
        <v>147</v>
      </c>
      <c r="W17" s="19">
        <f>T17+U17+V17</f>
        <v/>
      </c>
      <c r="AC17" s="42" t="n">
        <v>312899</v>
      </c>
      <c r="AD17" s="43" t="n"/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1647.406928762369</v>
      </c>
      <c r="C18" s="40" t="n">
        <v>1665.583539158829</v>
      </c>
      <c r="D18" s="51" t="n">
        <v>1668.816440028304</v>
      </c>
      <c r="E18" s="40">
        <f>(C18-B18)+C18</f>
        <v/>
      </c>
      <c r="F18" s="41">
        <f>(C18-D18)/C18</f>
        <v/>
      </c>
      <c r="G18" s="44" t="n">
        <v>284745</v>
      </c>
      <c r="H18" s="43" t="n">
        <v>285945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38762</v>
      </c>
      <c r="N18" s="21" t="n">
        <v>39182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245983</v>
      </c>
      <c r="T18" s="43" t="n">
        <v>246763</v>
      </c>
      <c r="U18" s="16">
        <f>M18-S18</f>
        <v/>
      </c>
      <c r="V18" s="17" t="n">
        <v>28</v>
      </c>
      <c r="W18" s="19">
        <f>T18+U18+V18</f>
        <v/>
      </c>
      <c r="AC18" s="42" t="n">
        <v>284636</v>
      </c>
      <c r="AD18" s="43" t="n"/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1657.045031256897</v>
      </c>
      <c r="C19" s="40" t="n">
        <v>1681.704006232998</v>
      </c>
      <c r="D19" s="51" t="n">
        <v>1682.717562814478</v>
      </c>
      <c r="E19" s="40">
        <f>(C19-B19)+C19</f>
        <v/>
      </c>
      <c r="F19" s="41">
        <f>(C19-D19)/C19</f>
        <v/>
      </c>
      <c r="G19" s="44" t="n">
        <v>127938</v>
      </c>
      <c r="H19" s="43" t="n">
        <v>130286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43948</v>
      </c>
      <c r="N19" s="21" t="n">
        <v>44452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83990</v>
      </c>
      <c r="T19" s="43" t="n">
        <v>85834</v>
      </c>
      <c r="U19" s="16">
        <f>M19-S19</f>
        <v/>
      </c>
      <c r="V19" s="17" t="n">
        <v>60</v>
      </c>
      <c r="W19" s="19">
        <f>T19+U19+V19</f>
        <v/>
      </c>
      <c r="AC19" s="42" t="n">
        <v>127864</v>
      </c>
      <c r="AD19" s="43" t="n"/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658.2760085618014</v>
      </c>
      <c r="C20" s="40" t="n">
        <v>669.6617393807093</v>
      </c>
      <c r="D20" s="51" t="n">
        <v>671.5319466843463</v>
      </c>
      <c r="E20" s="40">
        <f>(C20-B20)+C20</f>
        <v/>
      </c>
      <c r="F20" s="41">
        <f>(C20-D20)/C20</f>
        <v/>
      </c>
      <c r="G20" s="44" t="n">
        <v>77199</v>
      </c>
      <c r="H20" s="43" t="n">
        <v>78278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23104</v>
      </c>
      <c r="N20" s="21" t="n">
        <v>23335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54095</v>
      </c>
      <c r="T20" s="43" t="n">
        <v>54943</v>
      </c>
      <c r="U20" s="16">
        <f>M20-S20</f>
        <v/>
      </c>
      <c r="V20" s="17" t="n">
        <v>24</v>
      </c>
      <c r="W20" s="19">
        <f>T20+U20+V20</f>
        <v/>
      </c>
      <c r="AC20" s="42" t="n">
        <v>77146</v>
      </c>
      <c r="AD20" s="43" t="n"/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237.2474381555497</v>
      </c>
      <c r="C21" s="40" t="n">
        <v>241.0317538564829</v>
      </c>
      <c r="D21" s="51" t="n">
        <v>242.7529173980213</v>
      </c>
      <c r="E21" s="40">
        <f>(C21-B21)+C21</f>
        <v/>
      </c>
      <c r="F21" s="41">
        <f>(C21-D21)/C21</f>
        <v/>
      </c>
      <c r="G21" s="25" t="n">
        <v>22830</v>
      </c>
      <c r="H21" s="21" t="n">
        <v>23038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9495</v>
      </c>
      <c r="N21" s="21" t="n">
        <v>9561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13335</v>
      </c>
      <c r="T21" s="43" t="n">
        <v>13477</v>
      </c>
      <c r="U21" s="16">
        <f>M21-S21</f>
        <v/>
      </c>
      <c r="V21" s="17" t="n">
        <v>25</v>
      </c>
      <c r="W21" s="19">
        <f>T21+U21+V21</f>
        <v/>
      </c>
      <c r="AC21" s="25" t="n">
        <v>22817</v>
      </c>
      <c r="AD21" s="21" t="n"/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129.0404781729278</v>
      </c>
      <c r="C22" s="40" t="n">
        <v>131.4398246819806</v>
      </c>
      <c r="D22" s="51" t="n">
        <v>131.6531827630153</v>
      </c>
      <c r="E22" s="40">
        <f>(C22-B22)+C22</f>
        <v/>
      </c>
      <c r="F22" s="41">
        <f>(C22-D22)/C22</f>
        <v/>
      </c>
      <c r="G22" s="44" t="n">
        <v>11294</v>
      </c>
      <c r="H22" s="43" t="n">
        <v>11425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4346</v>
      </c>
      <c r="N22" s="21" t="n">
        <v>4396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6948</v>
      </c>
      <c r="T22" s="43" t="n">
        <v>7029</v>
      </c>
      <c r="U22" s="16">
        <f>M22-S22</f>
        <v/>
      </c>
      <c r="V22" s="17" t="n">
        <v>6</v>
      </c>
      <c r="W22" s="19">
        <f>T22+U22+V22</f>
        <v/>
      </c>
      <c r="AC22" s="42" t="n">
        <v>11277</v>
      </c>
      <c r="AD22" s="43" t="n"/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3687.284248897663</v>
      </c>
      <c r="C23" s="40" t="n">
        <v>3745.248578845897</v>
      </c>
      <c r="D23" s="51" t="n">
        <v>3761.406127832377</v>
      </c>
      <c r="E23" s="40">
        <f>(C23-B23)+C23</f>
        <v/>
      </c>
      <c r="F23" s="41">
        <f>(C23-D23)/C23</f>
        <v/>
      </c>
      <c r="G23" s="44" t="n">
        <v>402583</v>
      </c>
      <c r="H23" s="43" t="n">
        <v>406586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166604</v>
      </c>
      <c r="N23" s="21" t="n">
        <v>168057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235979</v>
      </c>
      <c r="T23" s="43" t="n">
        <v>238529</v>
      </c>
      <c r="U23" s="16">
        <f>M23-S23</f>
        <v/>
      </c>
      <c r="V23" s="17" t="n">
        <v>55</v>
      </c>
      <c r="W23" s="19">
        <f>T23+U23+V23</f>
        <v/>
      </c>
      <c r="AC23" s="42" t="n">
        <v>402471</v>
      </c>
      <c r="AD23" s="43" t="n"/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888.8949806127496</v>
      </c>
      <c r="C24" s="40" t="n">
        <v>903.5771495346647</v>
      </c>
      <c r="D24" s="51" t="n">
        <v>906.1970746519934</v>
      </c>
      <c r="E24" s="40">
        <f>(C24-B24)+C24</f>
        <v/>
      </c>
      <c r="F24" s="41">
        <f>(C24-D24)/C24</f>
        <v/>
      </c>
      <c r="G24" s="44" t="n">
        <v>98152</v>
      </c>
      <c r="H24" s="43" t="n">
        <v>99014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38135</v>
      </c>
      <c r="N24" s="21" t="n">
        <v>38420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60017</v>
      </c>
      <c r="T24" s="43" t="n">
        <v>60594</v>
      </c>
      <c r="U24" s="16">
        <f>M24-S24</f>
        <v/>
      </c>
      <c r="V24" s="17" t="n">
        <v>19</v>
      </c>
      <c r="W24" s="19">
        <f>T24+U24+V24</f>
        <v/>
      </c>
      <c r="AC24" s="42" t="n">
        <v>98111</v>
      </c>
      <c r="AD24" s="43" t="n"/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1133.178223189368</v>
      </c>
      <c r="C25" s="40" t="n">
        <v>1151.249161387674</v>
      </c>
      <c r="D25" s="51" t="n">
        <v>1154.615336991191</v>
      </c>
      <c r="E25" s="40">
        <f>(C25-B25)+C25</f>
        <v/>
      </c>
      <c r="F25" s="41">
        <f>(C25-D25)/C25</f>
        <v/>
      </c>
      <c r="G25" s="44" t="n">
        <v>148484</v>
      </c>
      <c r="H25" s="43" t="n">
        <v>149325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40350</v>
      </c>
      <c r="N25" s="21" t="n">
        <v>40673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108134</v>
      </c>
      <c r="T25" s="43" t="n">
        <v>108652</v>
      </c>
      <c r="U25" s="16">
        <f>M25-S25</f>
        <v/>
      </c>
      <c r="V25" s="17" t="n">
        <v>20</v>
      </c>
      <c r="W25" s="19">
        <f>T25+U25+V25</f>
        <v/>
      </c>
      <c r="AC25" s="42" t="n">
        <v>148449</v>
      </c>
      <c r="AD25" s="43" t="n"/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9662.575495942623</v>
      </c>
      <c r="C26" s="40" t="n">
        <v>9818.741187400145</v>
      </c>
      <c r="D26" s="51" t="n">
        <v>10006.23644556044</v>
      </c>
      <c r="E26" s="40">
        <f>(C26-B26)+C26</f>
        <v/>
      </c>
      <c r="F26" s="41">
        <f>(C26-D26)/C26</f>
        <v/>
      </c>
      <c r="G26" s="44" t="n">
        <v>166383</v>
      </c>
      <c r="H26" s="43" t="n">
        <v>167563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152872</v>
      </c>
      <c r="N26" s="21" t="n">
        <v>153917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13511</v>
      </c>
      <c r="T26" s="43" t="n">
        <v>13646</v>
      </c>
      <c r="U26" s="16">
        <f>M26-S26</f>
        <v/>
      </c>
      <c r="V26" s="17" t="n">
        <v>9</v>
      </c>
      <c r="W26" s="19">
        <f>T26+U26+V26</f>
        <v/>
      </c>
      <c r="AC26" s="42" t="n">
        <v>166210</v>
      </c>
      <c r="AD26" s="43" t="n"/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4564.949706844195</v>
      </c>
      <c r="C27" s="40" t="n">
        <v>4624.114478920147</v>
      </c>
      <c r="D27" s="51" t="n">
        <v>4643.481822837866</v>
      </c>
      <c r="E27" s="40">
        <f>(C27-B27)+C27</f>
        <v/>
      </c>
      <c r="F27" s="41">
        <f>(C27-D27)/C27</f>
        <v/>
      </c>
      <c r="G27" s="44" t="n">
        <v>282784</v>
      </c>
      <c r="H27" s="43" t="n">
        <v>285833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145980</v>
      </c>
      <c r="N27" s="21" t="n">
        <v>147640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136804</v>
      </c>
      <c r="T27" s="43" t="n">
        <v>138193</v>
      </c>
      <c r="U27" s="16">
        <f>M27-S27</f>
        <v/>
      </c>
      <c r="V27" s="17" t="n">
        <v>60</v>
      </c>
      <c r="W27" s="19">
        <f>T27+U27+V27</f>
        <v/>
      </c>
      <c r="AC27" s="42" t="n">
        <v>282624</v>
      </c>
      <c r="AD27" s="43" t="n"/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1486.602124898692</v>
      </c>
      <c r="C28" s="40" t="n">
        <v>1500.141505684205</v>
      </c>
      <c r="D28" s="51" t="n">
        <v>1508.186609857032</v>
      </c>
      <c r="E28" s="40">
        <f>(C28-B28)+C28</f>
        <v/>
      </c>
      <c r="F28" s="41">
        <f>(C28-D28)/C28</f>
        <v/>
      </c>
      <c r="G28" s="44" t="n">
        <v>45077</v>
      </c>
      <c r="H28" s="43" t="n">
        <v>45520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27235</v>
      </c>
      <c r="N28" s="21" t="n">
        <v>27442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17842</v>
      </c>
      <c r="T28" s="43" t="n">
        <v>18078</v>
      </c>
      <c r="U28" s="16">
        <f>M28-S28</f>
        <v/>
      </c>
      <c r="V28" s="17" t="n">
        <v>6</v>
      </c>
      <c r="W28" s="19">
        <f>T28+U28+V28</f>
        <v/>
      </c>
      <c r="AC28" s="42" t="n">
        <v>45046</v>
      </c>
      <c r="AD28" s="43" t="n"/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49.20119211368618</v>
      </c>
      <c r="C29" s="40" t="n">
        <v>50.09371138459351</v>
      </c>
      <c r="D29" s="51" t="n">
        <v>50.17360033150765</v>
      </c>
      <c r="E29" s="40">
        <f>(C29-B29)+C29</f>
        <v/>
      </c>
      <c r="F29" s="41">
        <f>(C29-D29)/C29</f>
        <v/>
      </c>
      <c r="G29" s="44" t="n">
        <v>3404</v>
      </c>
      <c r="H29" s="43" t="n">
        <v>3448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1273</v>
      </c>
      <c r="N29" s="21" t="n">
        <v>1285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2131</v>
      </c>
      <c r="T29" s="43" t="n">
        <v>2163</v>
      </c>
      <c r="U29" s="16">
        <f>M29-S29</f>
        <v/>
      </c>
      <c r="V29" s="17" t="n">
        <v>1</v>
      </c>
      <c r="W29" s="19">
        <f>T29+U29+V29</f>
        <v/>
      </c>
      <c r="AC29" s="42" t="n">
        <v>3398</v>
      </c>
      <c r="AD29" s="43" t="n"/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888.2079941631475</v>
      </c>
      <c r="C30" s="40" t="n">
        <v>901.963643694236</v>
      </c>
      <c r="D30" s="51" t="n">
        <v>905.8019228919666</v>
      </c>
      <c r="E30" s="40">
        <f>(C30-B30)+C30</f>
        <v/>
      </c>
      <c r="F30" s="41">
        <f>(C30-D30)/C30</f>
        <v/>
      </c>
      <c r="G30" s="44" t="n">
        <v>84300</v>
      </c>
      <c r="H30" s="43" t="n">
        <v>85156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21702</v>
      </c>
      <c r="N30" s="21" t="n">
        <v>21897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62598</v>
      </c>
      <c r="T30" s="43" t="n">
        <v>63259</v>
      </c>
      <c r="U30" s="16">
        <f>M30-S30</f>
        <v/>
      </c>
      <c r="V30" s="17" t="n">
        <v>29</v>
      </c>
      <c r="W30" s="19">
        <f>T30+U30+V30</f>
        <v/>
      </c>
      <c r="AC30" s="42" t="n">
        <v>84267</v>
      </c>
      <c r="AD30" s="43" t="n"/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1747.14179060068</v>
      </c>
      <c r="C31" s="40" t="n">
        <v>1770.710662519105</v>
      </c>
      <c r="D31" s="51" t="n">
        <v>1774.468676509583</v>
      </c>
      <c r="E31" s="40">
        <f>(C31-B31)+C31</f>
        <v/>
      </c>
      <c r="F31" s="41">
        <f>(C31-D31)/C31</f>
        <v/>
      </c>
      <c r="G31" s="44" t="n">
        <v>168209</v>
      </c>
      <c r="H31" s="43" t="n">
        <v>170254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58241</v>
      </c>
      <c r="N31" s="21" t="n">
        <v>58856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109968</v>
      </c>
      <c r="T31" s="43" t="n">
        <v>111398</v>
      </c>
      <c r="U31" s="16">
        <f>M31-S31</f>
        <v/>
      </c>
      <c r="V31" s="17" t="n">
        <v>45</v>
      </c>
      <c r="W31" s="19">
        <f>T31+U31+V31</f>
        <v/>
      </c>
      <c r="AC31" s="42" t="n">
        <v>168133</v>
      </c>
      <c r="AD31" s="43" t="n"/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8752.583149602331</v>
      </c>
      <c r="C32" s="40" t="n">
        <v>8845.785395523741</v>
      </c>
      <c r="D32" s="51" t="n">
        <v>8877.855320144912</v>
      </c>
      <c r="E32" s="40">
        <f>(C32-B32)+C32</f>
        <v/>
      </c>
      <c r="F32" s="41">
        <f>(C32-D32)/C32</f>
        <v/>
      </c>
      <c r="G32" s="44" t="n">
        <v>341207</v>
      </c>
      <c r="H32" s="43" t="n">
        <v>345577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177728</v>
      </c>
      <c r="N32" s="21" t="n">
        <v>179696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163479</v>
      </c>
      <c r="T32" s="43" t="n">
        <v>165881</v>
      </c>
      <c r="U32" s="16">
        <f>M32-S32</f>
        <v/>
      </c>
      <c r="V32" s="17" t="n">
        <v>56</v>
      </c>
      <c r="W32" s="19">
        <f>T32+U32+V32</f>
        <v/>
      </c>
      <c r="AC32" s="42" t="n">
        <v>341050</v>
      </c>
      <c r="AD32" s="43" t="n"/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2140.457600927221</v>
      </c>
      <c r="C33" s="40" t="n">
        <v>2168.066407406954</v>
      </c>
      <c r="D33" s="51" t="n">
        <v>2171.970491490367</v>
      </c>
      <c r="E33" s="40">
        <f>(C33-B33)+C33</f>
        <v/>
      </c>
      <c r="F33" s="41">
        <f>(C33-D33)/C33</f>
        <v/>
      </c>
      <c r="G33" s="44" t="n">
        <v>103290</v>
      </c>
      <c r="H33" s="43" t="n">
        <v>104647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57108</v>
      </c>
      <c r="N33" s="21" t="n">
        <v>57803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46182</v>
      </c>
      <c r="T33" s="43" t="n">
        <v>46844</v>
      </c>
      <c r="U33" s="16">
        <f>M33-S33</f>
        <v/>
      </c>
      <c r="V33" s="17" t="n">
        <v>15</v>
      </c>
      <c r="W33" s="19">
        <f>T33+U33+V33</f>
        <v/>
      </c>
      <c r="AC33" s="42" t="n">
        <v>103234</v>
      </c>
      <c r="AD33" s="43" t="n"/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5059459.112483429</v>
      </c>
      <c r="C34" s="28" t="n">
        <v>5309633.029421424</v>
      </c>
      <c r="D34" s="53" t="n">
        <v>5305984.895455852</v>
      </c>
      <c r="E34" s="28">
        <f>(C34-B34)+C34</f>
        <v/>
      </c>
      <c r="F34" s="30">
        <f>(C34-D34)/C34</f>
        <v/>
      </c>
      <c r="G34" s="26" t="n">
        <v>50506644</v>
      </c>
      <c r="H34" s="31" t="n">
        <v>51532655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2839722</v>
      </c>
      <c r="N34" s="33" t="n">
        <v>2867467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3814539</v>
      </c>
      <c r="T34" s="31" t="n">
        <v>3858654</v>
      </c>
      <c r="U34" s="31" t="n">
        <v>240028</v>
      </c>
      <c r="V34" s="31" t="n">
        <v>1244</v>
      </c>
      <c r="W34" s="31">
        <f>T34+U34+V34</f>
        <v/>
      </c>
      <c r="X34" s="32" t="n">
        <v>42788233</v>
      </c>
      <c r="Y34" s="34" t="n">
        <v>44806534</v>
      </c>
      <c r="Z34" s="34" t="n">
        <v>4986</v>
      </c>
      <c r="AA34" s="34" t="n">
        <v>272</v>
      </c>
      <c r="AB34" s="34">
        <f>Y34+Z34+AA34</f>
        <v/>
      </c>
      <c r="AC34" s="35" t="n">
        <v>6650575</v>
      </c>
      <c r="AD34" s="31" t="n">
        <v>6722423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38061</v>
      </c>
      <c r="E39" s="17">
        <f>D39+C39</f>
        <v/>
      </c>
    </row>
    <row r="42">
      <c r="A42" s="9" t="n"/>
      <c r="B42" s="54" t="n"/>
    </row>
    <row r="44">
      <c r="A44" s="9" t="n"/>
    </row>
    <row r="45">
      <c r="A45" s="9" t="n"/>
      <c r="B45" s="54" t="n"/>
      <c r="E45" s="9" t="n"/>
    </row>
    <row r="47">
      <c r="A47" s="9" t="n"/>
      <c r="B47" s="54" t="n"/>
      <c r="E47" s="9" t="n"/>
    </row>
    <row r="49">
      <c r="A49" s="9" t="n"/>
      <c r="B49" s="54" t="n"/>
      <c r="E49" s="9" t="n"/>
    </row>
    <row r="51">
      <c r="A51" s="9" t="n"/>
      <c r="B51" s="54" t="n"/>
      <c r="E51" s="9" t="n"/>
    </row>
    <row r="53">
      <c r="A53" s="9" t="n"/>
      <c r="B53" s="54" t="n"/>
      <c r="E53" s="9" t="n"/>
    </row>
    <row r="55">
      <c r="A55" s="9" t="n"/>
      <c r="B55" s="54" t="n"/>
      <c r="E55" s="9" t="n"/>
    </row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2286.052291978329</v>
      </c>
      <c r="C3" s="40" t="n">
        <v>2313.056524271424</v>
      </c>
      <c r="D3" s="51" t="n">
        <v>2316.019236665838</v>
      </c>
      <c r="E3" s="40">
        <f>(C3-B3)+C3</f>
        <v/>
      </c>
      <c r="F3" s="41">
        <f>(C3-D3)/C3</f>
        <v/>
      </c>
      <c r="G3" s="44" t="n">
        <v>173511</v>
      </c>
      <c r="H3" s="43" t="n">
        <v>175859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79636</v>
      </c>
      <c r="N3" s="21" t="n">
        <v>80746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93875</v>
      </c>
      <c r="T3" s="43" t="n">
        <v>95113</v>
      </c>
      <c r="U3" s="16">
        <f>M3-S3</f>
        <v/>
      </c>
      <c r="V3" s="17" t="n">
        <v>36</v>
      </c>
      <c r="W3" s="19">
        <f>T3+U3+V3</f>
        <v/>
      </c>
      <c r="AC3" s="42" t="n">
        <v>171542</v>
      </c>
      <c r="AD3" s="43" t="n">
        <v>175781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108907.0393886133</v>
      </c>
      <c r="C4" s="40" t="n">
        <v>111120.5459764932</v>
      </c>
      <c r="D4" s="51" t="n">
        <v>111447.3701592708</v>
      </c>
      <c r="E4" s="40">
        <f>(C4-B4)+C4</f>
        <v/>
      </c>
      <c r="F4" s="41">
        <f>(C4-D4)/C4</f>
        <v/>
      </c>
      <c r="G4" s="44" t="n">
        <v>186922</v>
      </c>
      <c r="H4" s="43" t="n">
        <v>189125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178482</v>
      </c>
      <c r="N4" s="21" t="n">
        <v>180580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8440</v>
      </c>
      <c r="T4" s="43" t="n">
        <v>8545</v>
      </c>
      <c r="U4" s="16">
        <f>M4-S4</f>
        <v/>
      </c>
      <c r="V4" s="17" t="n">
        <v>6</v>
      </c>
      <c r="W4" s="19">
        <f>T4+U4+V4</f>
        <v/>
      </c>
      <c r="AC4" s="42" t="n">
        <v>185287</v>
      </c>
      <c r="AD4" s="43" t="n">
        <v>188759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3061.315451473818</v>
      </c>
      <c r="C5" s="40" t="n">
        <v>3099.684780183404</v>
      </c>
      <c r="D5" s="51" t="n">
        <v>3101.05374068801</v>
      </c>
      <c r="E5" s="40">
        <f>(C5-B5)+C5</f>
        <v/>
      </c>
      <c r="F5" s="41">
        <f>(C5-D5)/C5</f>
        <v/>
      </c>
      <c r="G5" s="44" t="n">
        <v>346551</v>
      </c>
      <c r="H5" s="43" t="n">
        <v>350190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104843</v>
      </c>
      <c r="N5" s="21" t="n">
        <v>106063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241708</v>
      </c>
      <c r="T5" s="43" t="n">
        <v>244127</v>
      </c>
      <c r="U5" s="16">
        <f>M5-S5</f>
        <v/>
      </c>
      <c r="V5" s="17" t="n">
        <v>38</v>
      </c>
      <c r="W5" s="19">
        <f>T5+U5+V5</f>
        <v/>
      </c>
      <c r="AC5" s="42" t="n">
        <v>343167</v>
      </c>
      <c r="AD5" s="43" t="n">
        <v>350071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501.1938901825128</v>
      </c>
      <c r="C6" s="40" t="n">
        <v>508.6594665719515</v>
      </c>
      <c r="D6" s="51" t="n">
        <v>510.0106702059501</v>
      </c>
      <c r="E6" s="40">
        <f>(C6-B6)+C6</f>
        <v/>
      </c>
      <c r="F6" s="41">
        <f>(C6-D6)/C6</f>
        <v/>
      </c>
      <c r="G6" s="25" t="n">
        <v>57440</v>
      </c>
      <c r="H6" s="21" t="n">
        <v>58021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22333</v>
      </c>
      <c r="N6" s="21" t="n">
        <v>22580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35107</v>
      </c>
      <c r="T6" s="43" t="n">
        <v>35441</v>
      </c>
      <c r="U6" s="16">
        <f>M6-S6</f>
        <v/>
      </c>
      <c r="V6" s="17" t="n">
        <v>4</v>
      </c>
      <c r="W6" s="19">
        <f>T6+U6+V6</f>
        <v/>
      </c>
      <c r="AC6" s="25" t="n">
        <v>56893</v>
      </c>
      <c r="AD6" s="21" t="n">
        <v>58004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15288.82348612037</v>
      </c>
      <c r="C7" s="40" t="n">
        <v>15503.15889118116</v>
      </c>
      <c r="D7" s="51" t="n">
        <v>15491.80416410139</v>
      </c>
      <c r="E7" s="40">
        <f>(C7-B7)+C7</f>
        <v/>
      </c>
      <c r="F7" s="41">
        <f>(C7-D7)/C7</f>
        <v/>
      </c>
      <c r="G7" s="44" t="n">
        <v>821780</v>
      </c>
      <c r="H7" s="43" t="n">
        <v>837096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432266</v>
      </c>
      <c r="N7" s="21" t="n">
        <v>438831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389514</v>
      </c>
      <c r="T7" s="43" t="n">
        <v>398265</v>
      </c>
      <c r="U7" s="16">
        <f>M7-S7</f>
        <v/>
      </c>
      <c r="V7" s="17" t="n">
        <v>96</v>
      </c>
      <c r="W7" s="19">
        <f>T7+U7+V7</f>
        <v/>
      </c>
      <c r="AC7" s="42" t="n">
        <v>809678</v>
      </c>
      <c r="AD7" s="43" t="n">
        <v>836642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1799.373516822551</v>
      </c>
      <c r="C8" s="40" t="n">
        <v>1819.347219225286</v>
      </c>
      <c r="D8" s="51" t="n">
        <v>1820.76315528705</v>
      </c>
      <c r="E8" s="40">
        <f>(C8-B8)+C8</f>
        <v/>
      </c>
      <c r="F8" s="41">
        <f>(C8-D8)/C8</f>
        <v/>
      </c>
      <c r="G8" s="44" t="n">
        <v>141048</v>
      </c>
      <c r="H8" s="43" t="n">
        <v>142663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57686</v>
      </c>
      <c r="N8" s="21" t="n">
        <v>58355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83362</v>
      </c>
      <c r="T8" s="43" t="n">
        <v>84308</v>
      </c>
      <c r="U8" s="16">
        <f>M8-S8</f>
        <v/>
      </c>
      <c r="V8" s="17" t="n">
        <v>23</v>
      </c>
      <c r="W8" s="19">
        <f>T8+U8+V8</f>
        <v/>
      </c>
      <c r="AC8" s="42" t="n">
        <v>139563</v>
      </c>
      <c r="AD8" s="43" t="n">
        <v>142596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2697.174513313747</v>
      </c>
      <c r="C9" s="40" t="n">
        <v>2709.420917651694</v>
      </c>
      <c r="D9" s="51" t="n">
        <v>2714.316609481649</v>
      </c>
      <c r="E9" s="40">
        <f>(C9-B9)+C9</f>
        <v/>
      </c>
      <c r="F9" s="41">
        <f>(C9-D9)/C9</f>
        <v/>
      </c>
      <c r="G9" s="44" t="n">
        <v>97230</v>
      </c>
      <c r="H9" s="43" t="n">
        <v>98794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43150</v>
      </c>
      <c r="N9" s="21" t="n">
        <v>43673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54080</v>
      </c>
      <c r="T9" s="43" t="n">
        <v>55121</v>
      </c>
      <c r="U9" s="16">
        <f>M9-S9</f>
        <v/>
      </c>
      <c r="V9" s="17" t="n">
        <v>27</v>
      </c>
      <c r="W9" s="19">
        <f>T9+U9+V9</f>
        <v/>
      </c>
      <c r="AC9" s="42" t="n">
        <v>96008</v>
      </c>
      <c r="AD9" s="43" t="n">
        <v>98754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3015.266081682379</v>
      </c>
      <c r="C10" s="40" t="n">
        <v>3040.662808877881</v>
      </c>
      <c r="D10" s="51" t="n">
        <v>3041.698897118998</v>
      </c>
      <c r="E10" s="40">
        <f>(C10-B10)+C10</f>
        <v/>
      </c>
      <c r="F10" s="41">
        <f>(C10-D10)/C10</f>
        <v/>
      </c>
      <c r="G10" s="44" t="n">
        <v>229838</v>
      </c>
      <c r="H10" s="43" t="n">
        <v>233230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40542</v>
      </c>
      <c r="N10" s="21" t="n">
        <v>41095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189296</v>
      </c>
      <c r="T10" s="43" t="n">
        <v>192135</v>
      </c>
      <c r="U10" s="16">
        <f>M10-S10</f>
        <v/>
      </c>
      <c r="V10" s="17" t="n">
        <v>44</v>
      </c>
      <c r="W10" s="19">
        <f>T10+U10+V10</f>
        <v/>
      </c>
      <c r="AC10" s="42" t="n">
        <v>227968</v>
      </c>
      <c r="AD10" s="43" t="n">
        <v>233207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1775.492441540142</v>
      </c>
      <c r="C11" s="40" t="n">
        <v>1803.55059526102</v>
      </c>
      <c r="D11" s="51" t="n">
        <v>1806.160039636098</v>
      </c>
      <c r="E11" s="40">
        <f>(C11-B11)+C11</f>
        <v/>
      </c>
      <c r="F11" s="41">
        <f>(C11-D11)/C11</f>
        <v/>
      </c>
      <c r="G11" s="44" t="n">
        <v>206273</v>
      </c>
      <c r="H11" s="43" t="n">
        <v>209034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76536</v>
      </c>
      <c r="N11" s="21" t="n">
        <v>77645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129737</v>
      </c>
      <c r="T11" s="43" t="n">
        <v>131389</v>
      </c>
      <c r="U11" s="16">
        <f>M11-S11</f>
        <v/>
      </c>
      <c r="V11" s="17" t="n">
        <v>53</v>
      </c>
      <c r="W11" s="19">
        <f>T11+U11+V11</f>
        <v/>
      </c>
      <c r="AC11" s="42" t="n">
        <v>203982</v>
      </c>
      <c r="AD11" s="43" t="n">
        <v>208954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3222.10452238372</v>
      </c>
      <c r="C12" s="40" t="n">
        <v>3269.860667175908</v>
      </c>
      <c r="D12" s="51" t="n">
        <v>3270.285107484628</v>
      </c>
      <c r="E12" s="40">
        <f>(C12-B12)+C12</f>
        <v/>
      </c>
      <c r="F12" s="41">
        <f>(C12-D12)/C12</f>
        <v/>
      </c>
      <c r="G12" s="44" t="n">
        <v>317285</v>
      </c>
      <c r="H12" s="43" t="n">
        <v>322210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123014</v>
      </c>
      <c r="N12" s="21" t="n">
        <v>124829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194271</v>
      </c>
      <c r="T12" s="43" t="n">
        <v>197381</v>
      </c>
      <c r="U12" s="16">
        <f>M12-S12</f>
        <v/>
      </c>
      <c r="V12" s="17" t="n">
        <v>64</v>
      </c>
      <c r="W12" s="19">
        <f>T12+U12+V12</f>
        <v/>
      </c>
      <c r="AC12" s="42" t="n">
        <v>312442</v>
      </c>
      <c r="AD12" s="43" t="n">
        <v>322064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922.4314671938639</v>
      </c>
      <c r="C13" s="40" t="n">
        <v>934.1933479348911</v>
      </c>
      <c r="D13" s="51" t="n">
        <v>936.6720200804538</v>
      </c>
      <c r="E13" s="40">
        <f>(C13-B13)+C13</f>
        <v/>
      </c>
      <c r="F13" s="41">
        <f>(C13-D13)/C13</f>
        <v/>
      </c>
      <c r="G13" s="44" t="n">
        <v>80653</v>
      </c>
      <c r="H13" s="43" t="n">
        <v>81866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22425</v>
      </c>
      <c r="N13" s="21" t="n">
        <v>22776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58228</v>
      </c>
      <c r="T13" s="43" t="n">
        <v>59090</v>
      </c>
      <c r="U13" s="16">
        <f>M13-S13</f>
        <v/>
      </c>
      <c r="V13" s="17" t="n">
        <v>36</v>
      </c>
      <c r="W13" s="19">
        <f>T13+U13+V13</f>
        <v/>
      </c>
      <c r="AC13" s="42" t="n">
        <v>79797</v>
      </c>
      <c r="AD13" s="43" t="n">
        <v>81832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3920.984795957306</v>
      </c>
      <c r="C14" s="40" t="n">
        <v>3968.11093611915</v>
      </c>
      <c r="D14" s="51" t="n">
        <v>3967.686394041312</v>
      </c>
      <c r="E14" s="40">
        <f>(C14-B14)+C14</f>
        <v/>
      </c>
      <c r="F14" s="41">
        <f>(C14-D14)/C14</f>
        <v/>
      </c>
      <c r="G14" s="44" t="n">
        <v>270103</v>
      </c>
      <c r="H14" s="43" t="n">
        <v>275073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94691</v>
      </c>
      <c r="N14" s="21" t="n">
        <v>96447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175412</v>
      </c>
      <c r="T14" s="43" t="n">
        <v>178626</v>
      </c>
      <c r="U14" s="16">
        <f>M14-S14</f>
        <v/>
      </c>
      <c r="V14" s="17" t="n">
        <v>50</v>
      </c>
      <c r="W14" s="19">
        <f>T14+U14+V14</f>
        <v/>
      </c>
      <c r="AC14" s="42" t="n">
        <v>266255</v>
      </c>
      <c r="AD14" s="43" t="n">
        <v>274957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3062.630815201675</v>
      </c>
      <c r="C15" s="40" t="n">
        <v>3115.235672971511</v>
      </c>
      <c r="D15" s="51" t="n">
        <v>3113.514574941804</v>
      </c>
      <c r="E15" s="40">
        <f>(C15-B15)+C15</f>
        <v/>
      </c>
      <c r="F15" s="41">
        <f>(C15-D15)/C15</f>
        <v/>
      </c>
      <c r="G15" s="44" t="n">
        <v>262137</v>
      </c>
      <c r="H15" s="43" t="n">
        <v>266846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87283</v>
      </c>
      <c r="N15" s="21" t="n">
        <v>88583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174854</v>
      </c>
      <c r="T15" s="43" t="n">
        <v>178263</v>
      </c>
      <c r="U15" s="16">
        <f>M15-S15</f>
        <v/>
      </c>
      <c r="V15" s="17" t="n">
        <v>53</v>
      </c>
      <c r="W15" s="19">
        <f>T15+U15+V15</f>
        <v/>
      </c>
      <c r="AC15" s="42" t="n">
        <v>258236</v>
      </c>
      <c r="AD15" s="43" t="n">
        <v>266726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538.3627365477182</v>
      </c>
      <c r="C16" s="40" t="n">
        <v>547.6654631375577</v>
      </c>
      <c r="D16" s="51" t="n">
        <v>546.5953217686325</v>
      </c>
      <c r="E16" s="40">
        <f>(C16-B16)+C16</f>
        <v/>
      </c>
      <c r="F16" s="41">
        <f>(C16-D16)/C16</f>
        <v/>
      </c>
      <c r="G16" s="44" t="n">
        <v>73633</v>
      </c>
      <c r="H16" s="43" t="n">
        <v>74679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20897</v>
      </c>
      <c r="N16" s="21" t="n">
        <v>21224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52736</v>
      </c>
      <c r="T16" s="43" t="n">
        <v>53455</v>
      </c>
      <c r="U16" s="16">
        <f>M16-S16</f>
        <v/>
      </c>
      <c r="V16" s="17" t="n">
        <v>11</v>
      </c>
      <c r="W16" s="19">
        <f>T16+U16+V16</f>
        <v/>
      </c>
      <c r="AC16" s="42" t="n">
        <v>72906</v>
      </c>
      <c r="AD16" s="43" t="n">
        <v>74657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5025.468151998448</v>
      </c>
      <c r="C17" s="40" t="n">
        <v>5089.920722525511</v>
      </c>
      <c r="D17" s="51" t="n">
        <v>5090.75519322392</v>
      </c>
      <c r="E17" s="40">
        <f>(C17-B17)+C17</f>
        <v/>
      </c>
      <c r="F17" s="41">
        <f>(C17-D17)/C17</f>
        <v/>
      </c>
      <c r="G17" s="44" t="n">
        <v>316237</v>
      </c>
      <c r="H17" s="43" t="n">
        <v>319902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157166</v>
      </c>
      <c r="N17" s="21" t="n">
        <v>158972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159071</v>
      </c>
      <c r="T17" s="43" t="n">
        <v>160930</v>
      </c>
      <c r="U17" s="16">
        <f>M17-S17</f>
        <v/>
      </c>
      <c r="V17" s="17" t="n">
        <v>147</v>
      </c>
      <c r="W17" s="19">
        <f>T17+U17+V17</f>
        <v/>
      </c>
      <c r="AC17" s="42" t="n">
        <v>312899</v>
      </c>
      <c r="AD17" s="43" t="n">
        <v>319765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1665.583539158829</v>
      </c>
      <c r="C18" s="40" t="n">
        <v>1683.510078008351</v>
      </c>
      <c r="D18" s="51" t="n">
        <v>1683.76014955529</v>
      </c>
      <c r="E18" s="40">
        <f>(C18-B18)+C18</f>
        <v/>
      </c>
      <c r="F18" s="41">
        <f>(C18-D18)/C18</f>
        <v/>
      </c>
      <c r="G18" s="44" t="n">
        <v>285945</v>
      </c>
      <c r="H18" s="43" t="n">
        <v>287403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39182</v>
      </c>
      <c r="N18" s="21" t="n">
        <v>39772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246763</v>
      </c>
      <c r="T18" s="43" t="n">
        <v>247631</v>
      </c>
      <c r="U18" s="16">
        <f>M18-S18</f>
        <v/>
      </c>
      <c r="V18" s="17" t="n">
        <v>28</v>
      </c>
      <c r="W18" s="19">
        <f>T18+U18+V18</f>
        <v/>
      </c>
      <c r="AC18" s="42" t="n">
        <v>284636</v>
      </c>
      <c r="AD18" s="43" t="n">
        <v>287290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1681.704006232998</v>
      </c>
      <c r="C19" s="40" t="n">
        <v>1704.446167275533</v>
      </c>
      <c r="D19" s="51" t="n">
        <v>1706.362981209099</v>
      </c>
      <c r="E19" s="40">
        <f>(C19-B19)+C19</f>
        <v/>
      </c>
      <c r="F19" s="41">
        <f>(C19-D19)/C19</f>
        <v/>
      </c>
      <c r="G19" s="44" t="n">
        <v>130286</v>
      </c>
      <c r="H19" s="43" t="n">
        <v>132709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44452</v>
      </c>
      <c r="N19" s="21" t="n">
        <v>45107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85834</v>
      </c>
      <c r="T19" s="43" t="n">
        <v>87602</v>
      </c>
      <c r="U19" s="16">
        <f>M19-S19</f>
        <v/>
      </c>
      <c r="V19" s="17" t="n">
        <v>60</v>
      </c>
      <c r="W19" s="19">
        <f>T19+U19+V19</f>
        <v/>
      </c>
      <c r="AC19" s="42" t="n">
        <v>127864</v>
      </c>
      <c r="AD19" s="43" t="n">
        <v>132635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669.6617393807093</v>
      </c>
      <c r="C20" s="40" t="n">
        <v>680.5818797643319</v>
      </c>
      <c r="D20" s="51" t="n">
        <v>681.0474701996171</v>
      </c>
      <c r="E20" s="40">
        <f>(C20-B20)+C20</f>
        <v/>
      </c>
      <c r="F20" s="41">
        <f>(C20-D20)/C20</f>
        <v/>
      </c>
      <c r="G20" s="44" t="n">
        <v>78278</v>
      </c>
      <c r="H20" s="43" t="n">
        <v>79718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23335</v>
      </c>
      <c r="N20" s="21" t="n">
        <v>23650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54943</v>
      </c>
      <c r="T20" s="43" t="n">
        <v>56068</v>
      </c>
      <c r="U20" s="16">
        <f>M20-S20</f>
        <v/>
      </c>
      <c r="V20" s="17" t="n">
        <v>24</v>
      </c>
      <c r="W20" s="19">
        <f>T20+U20+V20</f>
        <v/>
      </c>
      <c r="AC20" s="42" t="n">
        <v>77146</v>
      </c>
      <c r="AD20" s="43" t="n">
        <v>79665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241.0317538564829</v>
      </c>
      <c r="C21" s="40" t="n">
        <v>244.3713090674609</v>
      </c>
      <c r="D21" s="51" t="n">
        <v>244.8160695574161</v>
      </c>
      <c r="E21" s="40">
        <f>(C21-B21)+C21</f>
        <v/>
      </c>
      <c r="F21" s="41">
        <f>(C21-D21)/C21</f>
        <v/>
      </c>
      <c r="G21" s="25" t="n">
        <v>23038</v>
      </c>
      <c r="H21" s="21" t="n">
        <v>23343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9561</v>
      </c>
      <c r="N21" s="21" t="n">
        <v>9689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13477</v>
      </c>
      <c r="T21" s="43" t="n">
        <v>13654</v>
      </c>
      <c r="U21" s="16">
        <f>M21-S21</f>
        <v/>
      </c>
      <c r="V21" s="17" t="n">
        <v>25</v>
      </c>
      <c r="W21" s="19">
        <f>T21+U21+V21</f>
        <v/>
      </c>
      <c r="AC21" s="25" t="n">
        <v>22817</v>
      </c>
      <c r="AD21" s="21" t="n">
        <v>23330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131.4398246819806</v>
      </c>
      <c r="C22" s="40" t="n">
        <v>133.5407526698304</v>
      </c>
      <c r="D22" s="51" t="n">
        <v>133.8391711910335</v>
      </c>
      <c r="E22" s="40">
        <f>(C22-B22)+C22</f>
        <v/>
      </c>
      <c r="F22" s="41">
        <f>(C22-D22)/C22</f>
        <v/>
      </c>
      <c r="G22" s="44" t="n">
        <v>11425</v>
      </c>
      <c r="H22" s="43" t="n">
        <v>11595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4396</v>
      </c>
      <c r="N22" s="21" t="n">
        <v>4470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7029</v>
      </c>
      <c r="T22" s="43" t="n">
        <v>7125</v>
      </c>
      <c r="U22" s="16">
        <f>M22-S22</f>
        <v/>
      </c>
      <c r="V22" s="17" t="n">
        <v>6</v>
      </c>
      <c r="W22" s="19">
        <f>T22+U22+V22</f>
        <v/>
      </c>
      <c r="AC22" s="42" t="n">
        <v>11277</v>
      </c>
      <c r="AD22" s="43" t="n">
        <v>11578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3745.248578845897</v>
      </c>
      <c r="C23" s="40" t="n">
        <v>3799.899646442403</v>
      </c>
      <c r="D23" s="51" t="n">
        <v>3803.212908794131</v>
      </c>
      <c r="E23" s="40">
        <f>(C23-B23)+C23</f>
        <v/>
      </c>
      <c r="F23" s="41">
        <f>(C23-D23)/C23</f>
        <v/>
      </c>
      <c r="G23" s="44" t="n">
        <v>406586</v>
      </c>
      <c r="H23" s="43" t="n">
        <v>411445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168057</v>
      </c>
      <c r="N23" s="21" t="n">
        <v>170059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238529</v>
      </c>
      <c r="T23" s="43" t="n">
        <v>241386</v>
      </c>
      <c r="U23" s="16">
        <f>M23-S23</f>
        <v/>
      </c>
      <c r="V23" s="17" t="n">
        <v>55</v>
      </c>
      <c r="W23" s="19">
        <f>T23+U23+V23</f>
        <v/>
      </c>
      <c r="AC23" s="42" t="n">
        <v>402471</v>
      </c>
      <c r="AD23" s="43" t="n">
        <v>411333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903.5771495346647</v>
      </c>
      <c r="C24" s="40" t="n">
        <v>917.3388721656564</v>
      </c>
      <c r="D24" s="51" t="n">
        <v>918.2593184565799</v>
      </c>
      <c r="E24" s="40">
        <f>(C24-B24)+C24</f>
        <v/>
      </c>
      <c r="F24" s="41">
        <f>(C24-D24)/C24</f>
        <v/>
      </c>
      <c r="G24" s="44" t="n">
        <v>99014</v>
      </c>
      <c r="H24" s="43" t="n">
        <v>100306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38420</v>
      </c>
      <c r="N24" s="21" t="n">
        <v>38943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60594</v>
      </c>
      <c r="T24" s="43" t="n">
        <v>61363</v>
      </c>
      <c r="U24" s="16">
        <f>M24-S24</f>
        <v/>
      </c>
      <c r="V24" s="17" t="n">
        <v>19</v>
      </c>
      <c r="W24" s="19">
        <f>T24+U24+V24</f>
        <v/>
      </c>
      <c r="AC24" s="42" t="n">
        <v>98111</v>
      </c>
      <c r="AD24" s="43" t="n">
        <v>100265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1151.249161387674</v>
      </c>
      <c r="C25" s="40" t="n">
        <v>1168.122834147011</v>
      </c>
      <c r="D25" s="51" t="n">
        <v>1169.320099585981</v>
      </c>
      <c r="E25" s="40">
        <f>(C25-B25)+C25</f>
        <v/>
      </c>
      <c r="F25" s="41">
        <f>(C25-D25)/C25</f>
        <v/>
      </c>
      <c r="G25" s="44" t="n">
        <v>149325</v>
      </c>
      <c r="H25" s="43" t="n">
        <v>150599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40673</v>
      </c>
      <c r="N25" s="21" t="n">
        <v>41277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108652</v>
      </c>
      <c r="T25" s="43" t="n">
        <v>109322</v>
      </c>
      <c r="U25" s="16">
        <f>M25-S25</f>
        <v/>
      </c>
      <c r="V25" s="17" t="n">
        <v>20</v>
      </c>
      <c r="W25" s="19">
        <f>T25+U25+V25</f>
        <v/>
      </c>
      <c r="AC25" s="42" t="n">
        <v>148449</v>
      </c>
      <c r="AD25" s="43" t="n">
        <v>150564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9818.741187400145</v>
      </c>
      <c r="C26" s="40" t="n">
        <v>9962.333467861123</v>
      </c>
      <c r="D26" s="51" t="n">
        <v>9974.906878857666</v>
      </c>
      <c r="E26" s="40">
        <f>(C26-B26)+C26</f>
        <v/>
      </c>
      <c r="F26" s="41">
        <f>(C26-D26)/C26</f>
        <v/>
      </c>
      <c r="G26" s="44" t="n">
        <v>167563</v>
      </c>
      <c r="H26" s="43" t="n">
        <v>169448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153917</v>
      </c>
      <c r="N26" s="21" t="n">
        <v>155637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13646</v>
      </c>
      <c r="T26" s="43" t="n">
        <v>13811</v>
      </c>
      <c r="U26" s="16">
        <f>M26-S26</f>
        <v/>
      </c>
      <c r="V26" s="17" t="n">
        <v>9</v>
      </c>
      <c r="W26" s="19">
        <f>T26+U26+V26</f>
        <v/>
      </c>
      <c r="AC26" s="42" t="n">
        <v>166210</v>
      </c>
      <c r="AD26" s="43" t="n">
        <v>169273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4624.114478920147</v>
      </c>
      <c r="C27" s="40" t="n">
        <v>4682.99027436748</v>
      </c>
      <c r="D27" s="51" t="n">
        <v>4683.279250996099</v>
      </c>
      <c r="E27" s="40">
        <f>(C27-B27)+C27</f>
        <v/>
      </c>
      <c r="F27" s="41">
        <f>(C27-D27)/C27</f>
        <v/>
      </c>
      <c r="G27" s="44" t="n">
        <v>285833</v>
      </c>
      <c r="H27" s="43" t="n">
        <v>289448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147640</v>
      </c>
      <c r="N27" s="21" t="n">
        <v>149732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138193</v>
      </c>
      <c r="T27" s="43" t="n">
        <v>139716</v>
      </c>
      <c r="U27" s="16">
        <f>M27-S27</f>
        <v/>
      </c>
      <c r="V27" s="17" t="n">
        <v>60</v>
      </c>
      <c r="W27" s="19">
        <f>T27+U27+V27</f>
        <v/>
      </c>
      <c r="AC27" s="42" t="n">
        <v>282624</v>
      </c>
      <c r="AD27" s="43" t="n">
        <v>289288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1500.141505684205</v>
      </c>
      <c r="C28" s="40" t="n">
        <v>1515.533975726076</v>
      </c>
      <c r="D28" s="51" t="n">
        <v>1513.680886469718</v>
      </c>
      <c r="E28" s="40">
        <f>(C28-B28)+C28</f>
        <v/>
      </c>
      <c r="F28" s="41">
        <f>(C28-D28)/C28</f>
        <v/>
      </c>
      <c r="G28" s="44" t="n">
        <v>45520</v>
      </c>
      <c r="H28" s="43" t="n">
        <v>46143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27442</v>
      </c>
      <c r="N28" s="21" t="n">
        <v>27754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18078</v>
      </c>
      <c r="T28" s="43" t="n">
        <v>18389</v>
      </c>
      <c r="U28" s="16">
        <f>M28-S28</f>
        <v/>
      </c>
      <c r="V28" s="17" t="n">
        <v>6</v>
      </c>
      <c r="W28" s="19">
        <f>T28+U28+V28</f>
        <v/>
      </c>
      <c r="AC28" s="42" t="n">
        <v>45046</v>
      </c>
      <c r="AD28" s="43" t="n">
        <v>46112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50.09371138459351</v>
      </c>
      <c r="C29" s="40" t="n">
        <v>50.84225872790366</v>
      </c>
      <c r="D29" s="51" t="n">
        <v>50.98623065550085</v>
      </c>
      <c r="E29" s="40">
        <f>(C29-B29)+C29</f>
        <v/>
      </c>
      <c r="F29" s="41">
        <f>(C29-D29)/C29</f>
        <v/>
      </c>
      <c r="G29" s="44" t="n">
        <v>3448</v>
      </c>
      <c r="H29" s="43" t="n">
        <v>3495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1285</v>
      </c>
      <c r="N29" s="21" t="n">
        <v>1299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2163</v>
      </c>
      <c r="T29" s="43" t="n">
        <v>2196</v>
      </c>
      <c r="U29" s="16">
        <f>M29-S29</f>
        <v/>
      </c>
      <c r="V29" s="17" t="n">
        <v>1</v>
      </c>
      <c r="W29" s="19">
        <f>T29+U29+V29</f>
        <v/>
      </c>
      <c r="AC29" s="42" t="n">
        <v>3398</v>
      </c>
      <c r="AD29" s="43" t="n">
        <v>3489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901.963643694236</v>
      </c>
      <c r="C30" s="40" t="n">
        <v>915.9204440518625</v>
      </c>
      <c r="D30" s="51" t="n">
        <v>915.7192932253245</v>
      </c>
      <c r="E30" s="40">
        <f>(C30-B30)+C30</f>
        <v/>
      </c>
      <c r="F30" s="41">
        <f>(C30-D30)/C30</f>
        <v/>
      </c>
      <c r="G30" s="44" t="n">
        <v>85156</v>
      </c>
      <c r="H30" s="43" t="n">
        <v>86203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21897</v>
      </c>
      <c r="N30" s="21" t="n">
        <v>22196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63259</v>
      </c>
      <c r="T30" s="43" t="n">
        <v>64007</v>
      </c>
      <c r="U30" s="16">
        <f>M30-S30</f>
        <v/>
      </c>
      <c r="V30" s="17" t="n">
        <v>29</v>
      </c>
      <c r="W30" s="19">
        <f>T30+U30+V30</f>
        <v/>
      </c>
      <c r="AC30" s="42" t="n">
        <v>84267</v>
      </c>
      <c r="AD30" s="43" t="n">
        <v>86169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1770.710662519105</v>
      </c>
      <c r="C31" s="40" t="n">
        <v>1792.80683410301</v>
      </c>
      <c r="D31" s="51" t="n">
        <v>1794.27953443753</v>
      </c>
      <c r="E31" s="40">
        <f>(C31-B31)+C31</f>
        <v/>
      </c>
      <c r="F31" s="41">
        <f>(C31-D31)/C31</f>
        <v/>
      </c>
      <c r="G31" s="44" t="n">
        <v>170254</v>
      </c>
      <c r="H31" s="43" t="n">
        <v>172582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58856</v>
      </c>
      <c r="N31" s="21" t="n">
        <v>59631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111398</v>
      </c>
      <c r="T31" s="43" t="n">
        <v>112951</v>
      </c>
      <c r="U31" s="16">
        <f>M31-S31</f>
        <v/>
      </c>
      <c r="V31" s="17" t="n">
        <v>45</v>
      </c>
      <c r="W31" s="19">
        <f>T31+U31+V31</f>
        <v/>
      </c>
      <c r="AC31" s="42" t="n">
        <v>168133</v>
      </c>
      <c r="AD31" s="43" t="n">
        <v>172506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8845.785395523741</v>
      </c>
      <c r="C32" s="40" t="n">
        <v>8937.527622228245</v>
      </c>
      <c r="D32" s="51" t="n">
        <v>8938.98764144515</v>
      </c>
      <c r="E32" s="40">
        <f>(C32-B32)+C32</f>
        <v/>
      </c>
      <c r="F32" s="41">
        <f>(C32-D32)/C32</f>
        <v/>
      </c>
      <c r="G32" s="44" t="n">
        <v>345577</v>
      </c>
      <c r="H32" s="43" t="n">
        <v>350530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179696</v>
      </c>
      <c r="N32" s="21" t="n">
        <v>182205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165881</v>
      </c>
      <c r="T32" s="43" t="n">
        <v>168325</v>
      </c>
      <c r="U32" s="16">
        <f>M32-S32</f>
        <v/>
      </c>
      <c r="V32" s="17" t="n">
        <v>56</v>
      </c>
      <c r="W32" s="19">
        <f>T32+U32+V32</f>
        <v/>
      </c>
      <c r="AC32" s="42" t="n">
        <v>341050</v>
      </c>
      <c r="AD32" s="43" t="n">
        <v>350373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2168.066407406954</v>
      </c>
      <c r="C33" s="40" t="n">
        <v>2195.831900978623</v>
      </c>
      <c r="D33" s="51" t="n">
        <v>2195.675213886687</v>
      </c>
      <c r="E33" s="40">
        <f>(C33-B33)+C33</f>
        <v/>
      </c>
      <c r="F33" s="41">
        <f>(C33-D33)/C33</f>
        <v/>
      </c>
      <c r="G33" s="44" t="n">
        <v>104647</v>
      </c>
      <c r="H33" s="43" t="n">
        <v>106333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57803</v>
      </c>
      <c r="N33" s="21" t="n">
        <v>58635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46844</v>
      </c>
      <c r="T33" s="43" t="n">
        <v>47698</v>
      </c>
      <c r="U33" s="16">
        <f>M33-S33</f>
        <v/>
      </c>
      <c r="V33" s="17" t="n">
        <v>15</v>
      </c>
      <c r="W33" s="19">
        <f>T33+U33+V33</f>
        <v/>
      </c>
      <c r="AC33" s="42" t="n">
        <v>103234</v>
      </c>
      <c r="AD33" s="43" t="n">
        <v>106273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5309633.029421424</v>
      </c>
      <c r="C34" s="28" t="n">
        <v>5554627.409727677</v>
      </c>
      <c r="D34" s="53" t="n">
        <v>5559806.946359418</v>
      </c>
      <c r="E34" s="28">
        <f>(C34-B34)+C34</f>
        <v/>
      </c>
      <c r="F34" s="30">
        <f>(C34-D34)/C34</f>
        <v/>
      </c>
      <c r="G34" s="26" t="n">
        <v>51532655</v>
      </c>
      <c r="H34" s="31" t="n">
        <v>52514858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2867467</v>
      </c>
      <c r="N34" s="33" t="n">
        <v>2905658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3858654</v>
      </c>
      <c r="T34" s="31" t="n">
        <v>3911617</v>
      </c>
      <c r="U34" s="31" t="n">
        <v>240028</v>
      </c>
      <c r="V34" s="31" t="n">
        <v>1244</v>
      </c>
      <c r="W34" s="31">
        <f>T34+U34+V34</f>
        <v/>
      </c>
      <c r="X34" s="32" t="n">
        <v>44806534</v>
      </c>
      <c r="Y34" s="34" t="n">
        <v>45697583</v>
      </c>
      <c r="Z34" s="34" t="n">
        <v>4986</v>
      </c>
      <c r="AA34" s="34" t="n">
        <v>272</v>
      </c>
      <c r="AB34" s="34">
        <f>Y34+Z34+AA34</f>
        <v/>
      </c>
      <c r="AC34" s="35" t="n">
        <v>6722423</v>
      </c>
      <c r="AD34" s="31" t="n">
        <v>6813567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38522</v>
      </c>
      <c r="E39" s="17">
        <f>D39+C39</f>
        <v/>
      </c>
    </row>
    <row r="42">
      <c r="A42" s="9" t="n"/>
      <c r="B42" s="54" t="n"/>
    </row>
    <row r="44">
      <c r="A44" s="9" t="n"/>
    </row>
    <row r="45">
      <c r="A45" s="9" t="n"/>
      <c r="B45" s="54" t="n"/>
      <c r="E45" s="9" t="n"/>
    </row>
    <row r="47">
      <c r="A47" s="9" t="n"/>
      <c r="B47" s="54" t="n"/>
      <c r="E47" s="9" t="n"/>
    </row>
    <row r="49">
      <c r="A49" s="9" t="n"/>
      <c r="B49" s="54" t="n"/>
      <c r="E49" s="9" t="n"/>
    </row>
    <row r="51">
      <c r="A51" s="9" t="n"/>
      <c r="B51" s="54" t="n"/>
      <c r="E51" s="9" t="n"/>
    </row>
    <row r="53">
      <c r="A53" s="9" t="n"/>
      <c r="B53" s="54" t="n"/>
      <c r="E53" s="9" t="n"/>
    </row>
    <row r="55">
      <c r="A55" s="9" t="n"/>
      <c r="B55" s="54" t="n"/>
      <c r="E55" s="9" t="n"/>
    </row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2313.056524271424</v>
      </c>
      <c r="C3" s="40" t="n">
        <v>2340.255219329598</v>
      </c>
      <c r="D3" s="51" t="n">
        <v>2340.06075656452</v>
      </c>
      <c r="E3" s="40">
        <f>(C3-B3)+C3</f>
        <v/>
      </c>
      <c r="F3" s="41">
        <f>(C3-D3)/C3</f>
        <v/>
      </c>
      <c r="G3" s="44" t="n">
        <v>175859</v>
      </c>
      <c r="H3" s="43" t="n">
        <v>177960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80746</v>
      </c>
      <c r="N3" s="21" t="n">
        <v>81732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95113</v>
      </c>
      <c r="T3" s="43" t="n">
        <v>96228</v>
      </c>
      <c r="U3" s="16">
        <f>M3-S3</f>
        <v/>
      </c>
      <c r="V3" s="17" t="n">
        <v>36</v>
      </c>
      <c r="W3" s="19">
        <f>T3+U3+V3</f>
        <v/>
      </c>
      <c r="AC3" s="42" t="n">
        <v>175781</v>
      </c>
      <c r="AD3" s="43" t="n">
        <v>177882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111120.5459764932</v>
      </c>
      <c r="C4" s="40" t="n">
        <v>113541.7340347608</v>
      </c>
      <c r="D4" s="51" t="n">
        <v>113334.0525643731</v>
      </c>
      <c r="E4" s="40">
        <f>(C4-B4)+C4</f>
        <v/>
      </c>
      <c r="F4" s="41">
        <f>(C4-D4)/C4</f>
        <v/>
      </c>
      <c r="G4" s="44" t="n">
        <v>189125</v>
      </c>
      <c r="H4" s="43" t="n">
        <v>191386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180580</v>
      </c>
      <c r="N4" s="21" t="n">
        <v>182720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8545</v>
      </c>
      <c r="T4" s="43" t="n">
        <v>8666</v>
      </c>
      <c r="U4" s="16">
        <f>M4-S4</f>
        <v/>
      </c>
      <c r="V4" s="17" t="n">
        <v>6</v>
      </c>
      <c r="W4" s="19">
        <f>T4+U4+V4</f>
        <v/>
      </c>
      <c r="AC4" s="42" t="n">
        <v>188759</v>
      </c>
      <c r="AD4" s="43" t="n">
        <v>191018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3099.684780183404</v>
      </c>
      <c r="C5" s="40" t="n">
        <v>3140.219882787038</v>
      </c>
      <c r="D5" s="51" t="n">
        <v>3138.054108892989</v>
      </c>
      <c r="E5" s="40">
        <f>(C5-B5)+C5</f>
        <v/>
      </c>
      <c r="F5" s="41">
        <f>(C5-D5)/C5</f>
        <v/>
      </c>
      <c r="G5" s="44" t="n">
        <v>350190</v>
      </c>
      <c r="H5" s="43" t="n">
        <v>353907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106063</v>
      </c>
      <c r="N5" s="21" t="n">
        <v>107279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244127</v>
      </c>
      <c r="T5" s="43" t="n">
        <v>246628</v>
      </c>
      <c r="U5" s="16">
        <f>M5-S5</f>
        <v/>
      </c>
      <c r="V5" s="17" t="n">
        <v>38</v>
      </c>
      <c r="W5" s="19">
        <f>T5+U5+V5</f>
        <v/>
      </c>
      <c r="AC5" s="42" t="n">
        <v>350071</v>
      </c>
      <c r="AD5" s="43" t="n">
        <v>353783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508.6594665719515</v>
      </c>
      <c r="C6" s="40" t="n">
        <v>516.239901112217</v>
      </c>
      <c r="D6" s="51" t="n">
        <v>516.1250429613901</v>
      </c>
      <c r="E6" s="40">
        <f>(C6-B6)+C6</f>
        <v/>
      </c>
      <c r="F6" s="41">
        <f>(C6-D6)/C6</f>
        <v/>
      </c>
      <c r="G6" s="25" t="n">
        <v>58021</v>
      </c>
      <c r="H6" s="21" t="n">
        <v>58610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22580</v>
      </c>
      <c r="N6" s="21" t="n">
        <v>22837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35441</v>
      </c>
      <c r="T6" s="43" t="n">
        <v>35773</v>
      </c>
      <c r="U6" s="16">
        <f>M6-S6</f>
        <v/>
      </c>
      <c r="V6" s="17" t="n">
        <v>4</v>
      </c>
      <c r="W6" s="19">
        <f>T6+U6+V6</f>
        <v/>
      </c>
      <c r="AC6" s="25" t="n">
        <v>58004</v>
      </c>
      <c r="AD6" s="21" t="n">
        <v>58590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15503.15889118116</v>
      </c>
      <c r="C7" s="40" t="n">
        <v>15740.70302640792</v>
      </c>
      <c r="D7" s="51" t="n">
        <v>15717.49429624195</v>
      </c>
      <c r="E7" s="40">
        <f>(C7-B7)+C7</f>
        <v/>
      </c>
      <c r="F7" s="41">
        <f>(C7-D7)/C7</f>
        <v/>
      </c>
      <c r="G7" s="44" t="n">
        <v>837096</v>
      </c>
      <c r="H7" s="43" t="n">
        <v>851673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438831</v>
      </c>
      <c r="N7" s="21" t="n">
        <v>444855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398265</v>
      </c>
      <c r="T7" s="43" t="n">
        <v>406818</v>
      </c>
      <c r="U7" s="16">
        <f>M7-S7</f>
        <v/>
      </c>
      <c r="V7" s="17" t="n">
        <v>96</v>
      </c>
      <c r="W7" s="19">
        <f>T7+U7+V7</f>
        <v/>
      </c>
      <c r="AC7" s="42" t="n">
        <v>836642</v>
      </c>
      <c r="AD7" s="43" t="n">
        <v>851200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1819.347219225286</v>
      </c>
      <c r="C8" s="40" t="n">
        <v>1841.535012269359</v>
      </c>
      <c r="D8" s="51" t="n">
        <v>1839.320921628021</v>
      </c>
      <c r="E8" s="40">
        <f>(C8-B8)+C8</f>
        <v/>
      </c>
      <c r="F8" s="41">
        <f>(C8-D8)/C8</f>
        <v/>
      </c>
      <c r="G8" s="44" t="n">
        <v>142663</v>
      </c>
      <c r="H8" s="43" t="n">
        <v>144546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58355</v>
      </c>
      <c r="N8" s="21" t="n">
        <v>59140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84308</v>
      </c>
      <c r="T8" s="43" t="n">
        <v>85406</v>
      </c>
      <c r="U8" s="16">
        <f>M8-S8</f>
        <v/>
      </c>
      <c r="V8" s="17" t="n">
        <v>23</v>
      </c>
      <c r="W8" s="19">
        <f>T8+U8+V8</f>
        <v/>
      </c>
      <c r="AC8" s="42" t="n">
        <v>142596</v>
      </c>
      <c r="AD8" s="43" t="n">
        <v>144469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2709.420917651694</v>
      </c>
      <c r="C9" s="40" t="n">
        <v>2722.276854667557</v>
      </c>
      <c r="D9" s="51" t="n">
        <v>2721.667321989642</v>
      </c>
      <c r="E9" s="40">
        <f>(C9-B9)+C9</f>
        <v/>
      </c>
      <c r="F9" s="41">
        <f>(C9-D9)/C9</f>
        <v/>
      </c>
      <c r="G9" s="44" t="n">
        <v>98794</v>
      </c>
      <c r="H9" s="43" t="n">
        <v>100340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43673</v>
      </c>
      <c r="N9" s="21" t="n">
        <v>44263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55121</v>
      </c>
      <c r="T9" s="43" t="n">
        <v>56077</v>
      </c>
      <c r="U9" s="16">
        <f>M9-S9</f>
        <v/>
      </c>
      <c r="V9" s="17" t="n">
        <v>27</v>
      </c>
      <c r="W9" s="19">
        <f>T9+U9+V9</f>
        <v/>
      </c>
      <c r="AC9" s="42" t="n">
        <v>98754</v>
      </c>
      <c r="AD9" s="43" t="n">
        <v>100299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3040.662808877881</v>
      </c>
      <c r="C10" s="40" t="n">
        <v>3064.890305367007</v>
      </c>
      <c r="D10" s="51" t="n">
        <v>3066.059536073382</v>
      </c>
      <c r="E10" s="40">
        <f>(C10-B10)+C10</f>
        <v/>
      </c>
      <c r="F10" s="41">
        <f>(C10-D10)/C10</f>
        <v/>
      </c>
      <c r="G10" s="44" t="n">
        <v>233230</v>
      </c>
      <c r="H10" s="43" t="n">
        <v>235671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41095</v>
      </c>
      <c r="N10" s="21" t="n">
        <v>41705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192135</v>
      </c>
      <c r="T10" s="43" t="n">
        <v>193966</v>
      </c>
      <c r="U10" s="16">
        <f>M10-S10</f>
        <v/>
      </c>
      <c r="V10" s="17" t="n">
        <v>44</v>
      </c>
      <c r="W10" s="19">
        <f>T10+U10+V10</f>
        <v/>
      </c>
      <c r="AC10" s="42" t="n">
        <v>233207</v>
      </c>
      <c r="AD10" s="43" t="n">
        <v>235648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1803.55059526102</v>
      </c>
      <c r="C11" s="40" t="n">
        <v>1831.495869356981</v>
      </c>
      <c r="D11" s="51" t="n">
        <v>1831.608748981899</v>
      </c>
      <c r="E11" s="40">
        <f>(C11-B11)+C11</f>
        <v/>
      </c>
      <c r="F11" s="41">
        <f>(C11-D11)/C11</f>
        <v/>
      </c>
      <c r="G11" s="44" t="n">
        <v>209034</v>
      </c>
      <c r="H11" s="43" t="n">
        <v>211903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77645</v>
      </c>
      <c r="N11" s="21" t="n">
        <v>78646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131389</v>
      </c>
      <c r="T11" s="43" t="n">
        <v>133257</v>
      </c>
      <c r="U11" s="16">
        <f>M11-S11</f>
        <v/>
      </c>
      <c r="V11" s="17" t="n">
        <v>53</v>
      </c>
      <c r="W11" s="19">
        <f>T11+U11+V11</f>
        <v/>
      </c>
      <c r="AC11" s="42" t="n">
        <v>208954</v>
      </c>
      <c r="AD11" s="43" t="n">
        <v>211816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3269.860667175908</v>
      </c>
      <c r="C12" s="40" t="n">
        <v>3335.558314409642</v>
      </c>
      <c r="D12" s="51" t="n">
        <v>3317.616811968096</v>
      </c>
      <c r="E12" s="40">
        <f>(C12-B12)+C12</f>
        <v/>
      </c>
      <c r="F12" s="41">
        <f>(C12-D12)/C12</f>
        <v/>
      </c>
      <c r="G12" s="44" t="n">
        <v>322210</v>
      </c>
      <c r="H12" s="43" t="n">
        <v>327395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124829</v>
      </c>
      <c r="N12" s="21" t="n">
        <v>126795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197381</v>
      </c>
      <c r="T12" s="43" t="n">
        <v>200600</v>
      </c>
      <c r="U12" s="16">
        <f>M12-S12</f>
        <v/>
      </c>
      <c r="V12" s="17" t="n">
        <v>64</v>
      </c>
      <c r="W12" s="19">
        <f>T12+U12+V12</f>
        <v/>
      </c>
      <c r="AC12" s="42" t="n">
        <v>322064</v>
      </c>
      <c r="AD12" s="43" t="n">
        <v>327233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934.1933479348911</v>
      </c>
      <c r="C13" s="40" t="n">
        <v>947.1211584316377</v>
      </c>
      <c r="D13" s="51" t="n">
        <v>945.9552286759183</v>
      </c>
      <c r="E13" s="40">
        <f>(C13-B13)+C13</f>
        <v/>
      </c>
      <c r="F13" s="41">
        <f>(C13-D13)/C13</f>
        <v/>
      </c>
      <c r="G13" s="44" t="n">
        <v>81866</v>
      </c>
      <c r="H13" s="43" t="n">
        <v>82842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22776</v>
      </c>
      <c r="N13" s="21" t="n">
        <v>23047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59090</v>
      </c>
      <c r="T13" s="43" t="n">
        <v>59795</v>
      </c>
      <c r="U13" s="16">
        <f>M13-S13</f>
        <v/>
      </c>
      <c r="V13" s="17" t="n">
        <v>36</v>
      </c>
      <c r="W13" s="19">
        <f>T13+U13+V13</f>
        <v/>
      </c>
      <c r="AC13" s="42" t="n">
        <v>81832</v>
      </c>
      <c r="AD13" s="43" t="n">
        <v>82801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3968.11093611915</v>
      </c>
      <c r="C14" s="40" t="n">
        <v>4015.011143162104</v>
      </c>
      <c r="D14" s="51" t="n">
        <v>4015.237076280993</v>
      </c>
      <c r="E14" s="40">
        <f>(C14-B14)+C14</f>
        <v/>
      </c>
      <c r="F14" s="41">
        <f>(C14-D14)/C14</f>
        <v/>
      </c>
      <c r="G14" s="44" t="n">
        <v>275073</v>
      </c>
      <c r="H14" s="43" t="n">
        <v>279940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96447</v>
      </c>
      <c r="N14" s="21" t="n">
        <v>97922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178626</v>
      </c>
      <c r="T14" s="43" t="n">
        <v>182018</v>
      </c>
      <c r="U14" s="16">
        <f>M14-S14</f>
        <v/>
      </c>
      <c r="V14" s="17" t="n">
        <v>50</v>
      </c>
      <c r="W14" s="19">
        <f>T14+U14+V14</f>
        <v/>
      </c>
      <c r="AC14" s="42" t="n">
        <v>274957</v>
      </c>
      <c r="AD14" s="43" t="n">
        <v>279819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3115.235672971511</v>
      </c>
      <c r="C15" s="40" t="n">
        <v>3163.738540786717</v>
      </c>
      <c r="D15" s="51" t="n">
        <v>3167.840530741346</v>
      </c>
      <c r="E15" s="40">
        <f>(C15-B15)+C15</f>
        <v/>
      </c>
      <c r="F15" s="41">
        <f>(C15-D15)/C15</f>
        <v/>
      </c>
      <c r="G15" s="44" t="n">
        <v>266846</v>
      </c>
      <c r="H15" s="43" t="n">
        <v>271799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88583</v>
      </c>
      <c r="N15" s="21" t="n">
        <v>89744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178263</v>
      </c>
      <c r="T15" s="43" t="n">
        <v>182055</v>
      </c>
      <c r="U15" s="16">
        <f>M15-S15</f>
        <v/>
      </c>
      <c r="V15" s="17" t="n">
        <v>53</v>
      </c>
      <c r="W15" s="19">
        <f>T15+U15+V15</f>
        <v/>
      </c>
      <c r="AC15" s="42" t="n">
        <v>266726</v>
      </c>
      <c r="AD15" s="43" t="n">
        <v>271672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547.6654631375577</v>
      </c>
      <c r="C16" s="40" t="n">
        <v>559.9704832858788</v>
      </c>
      <c r="D16" s="51" t="n">
        <v>556.9681897273972</v>
      </c>
      <c r="E16" s="40">
        <f>(C16-B16)+C16</f>
        <v/>
      </c>
      <c r="F16" s="41">
        <f>(C16-D16)/C16</f>
        <v/>
      </c>
      <c r="G16" s="44" t="n">
        <v>74679</v>
      </c>
      <c r="H16" s="43" t="n">
        <v>75778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21224</v>
      </c>
      <c r="N16" s="21" t="n">
        <v>21542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53455</v>
      </c>
      <c r="T16" s="43" t="n">
        <v>54236</v>
      </c>
      <c r="U16" s="16">
        <f>M16-S16</f>
        <v/>
      </c>
      <c r="V16" s="17" t="n">
        <v>11</v>
      </c>
      <c r="W16" s="19">
        <f>T16+U16+V16</f>
        <v/>
      </c>
      <c r="AC16" s="42" t="n">
        <v>74657</v>
      </c>
      <c r="AD16" s="43" t="n">
        <v>75752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5089.920722525511</v>
      </c>
      <c r="C17" s="40" t="n">
        <v>5156.066826425629</v>
      </c>
      <c r="D17" s="51" t="n">
        <v>5154.373293052575</v>
      </c>
      <c r="E17" s="40">
        <f>(C17-B17)+C17</f>
        <v/>
      </c>
      <c r="F17" s="41">
        <f>(C17-D17)/C17</f>
        <v/>
      </c>
      <c r="G17" s="44" t="n">
        <v>319902</v>
      </c>
      <c r="H17" s="43" t="n">
        <v>323729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158972</v>
      </c>
      <c r="N17" s="21" t="n">
        <v>160870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160930</v>
      </c>
      <c r="T17" s="43" t="n">
        <v>162859</v>
      </c>
      <c r="U17" s="16">
        <f>M17-S17</f>
        <v/>
      </c>
      <c r="V17" s="17" t="n">
        <v>147</v>
      </c>
      <c r="W17" s="19">
        <f>T17+U17+V17</f>
        <v/>
      </c>
      <c r="AC17" s="42" t="n">
        <v>319765</v>
      </c>
      <c r="AD17" s="43" t="n">
        <v>323584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1683.510078008351</v>
      </c>
      <c r="C18" s="40" t="n">
        <v>1698.69561921818</v>
      </c>
      <c r="D18" s="51" t="n">
        <v>1701.436616857873</v>
      </c>
      <c r="E18" s="40">
        <f>(C18-B18)+C18</f>
        <v/>
      </c>
      <c r="F18" s="41">
        <f>(C18-D18)/C18</f>
        <v/>
      </c>
      <c r="G18" s="44" t="n">
        <v>287403</v>
      </c>
      <c r="H18" s="43" t="n">
        <v>289027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39772</v>
      </c>
      <c r="N18" s="21" t="n">
        <v>40347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247631</v>
      </c>
      <c r="T18" s="43" t="n">
        <v>248680</v>
      </c>
      <c r="U18" s="16">
        <f>M18-S18</f>
        <v/>
      </c>
      <c r="V18" s="17" t="n">
        <v>28</v>
      </c>
      <c r="W18" s="19">
        <f>T18+U18+V18</f>
        <v/>
      </c>
      <c r="AC18" s="42" t="n">
        <v>287290</v>
      </c>
      <c r="AD18" s="43" t="n">
        <v>288909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1704.446167275533</v>
      </c>
      <c r="C19" s="40" t="n">
        <v>1728.321706582205</v>
      </c>
      <c r="D19" s="51" t="n">
        <v>1727.188328318068</v>
      </c>
      <c r="E19" s="40">
        <f>(C19-B19)+C19</f>
        <v/>
      </c>
      <c r="F19" s="41">
        <f>(C19-D19)/C19</f>
        <v/>
      </c>
      <c r="G19" s="44" t="n">
        <v>132709</v>
      </c>
      <c r="H19" s="43" t="n">
        <v>135051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45107</v>
      </c>
      <c r="N19" s="21" t="n">
        <v>45807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87602</v>
      </c>
      <c r="T19" s="43" t="n">
        <v>89244</v>
      </c>
      <c r="U19" s="16">
        <f>M19-S19</f>
        <v/>
      </c>
      <c r="V19" s="17" t="n">
        <v>60</v>
      </c>
      <c r="W19" s="19">
        <f>T19+U19+V19</f>
        <v/>
      </c>
      <c r="AC19" s="42" t="n">
        <v>132635</v>
      </c>
      <c r="AD19" s="43" t="n">
        <v>134970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680.5818797643319</v>
      </c>
      <c r="C20" s="40" t="n">
        <v>692.9377839760051</v>
      </c>
      <c r="D20" s="51" t="n">
        <v>691.5020201479546</v>
      </c>
      <c r="E20" s="40">
        <f>(C20-B20)+C20</f>
        <v/>
      </c>
      <c r="F20" s="41">
        <f>(C20-D20)/C20</f>
        <v/>
      </c>
      <c r="G20" s="44" t="n">
        <v>79718</v>
      </c>
      <c r="H20" s="43" t="n">
        <v>82015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23650</v>
      </c>
      <c r="N20" s="21" t="n">
        <v>23963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56068</v>
      </c>
      <c r="T20" s="43" t="n">
        <v>58052</v>
      </c>
      <c r="U20" s="16">
        <f>M20-S20</f>
        <v/>
      </c>
      <c r="V20" s="17" t="n">
        <v>24</v>
      </c>
      <c r="W20" s="19">
        <f>T20+U20+V20</f>
        <v/>
      </c>
      <c r="AC20" s="42" t="n">
        <v>79665</v>
      </c>
      <c r="AD20" s="43" t="n">
        <v>81960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244.3713090674609</v>
      </c>
      <c r="C21" s="40" t="n">
        <v>248.2121800987668</v>
      </c>
      <c r="D21" s="51" t="n">
        <v>247.7108642784389</v>
      </c>
      <c r="E21" s="40">
        <f>(C21-B21)+C21</f>
        <v/>
      </c>
      <c r="F21" s="41">
        <f>(C21-D21)/C21</f>
        <v/>
      </c>
      <c r="G21" s="25" t="n">
        <v>23343</v>
      </c>
      <c r="H21" s="21" t="n">
        <v>23656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9689</v>
      </c>
      <c r="N21" s="21" t="n">
        <v>9806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13654</v>
      </c>
      <c r="T21" s="43" t="n">
        <v>13850</v>
      </c>
      <c r="U21" s="16">
        <f>M21-S21</f>
        <v/>
      </c>
      <c r="V21" s="17" t="n">
        <v>25</v>
      </c>
      <c r="W21" s="19">
        <f>T21+U21+V21</f>
        <v/>
      </c>
      <c r="AC21" s="25" t="n">
        <v>23330</v>
      </c>
      <c r="AD21" s="21" t="n">
        <v>23641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133.5407526698304</v>
      </c>
      <c r="C22" s="40" t="n">
        <v>135.7918965036275</v>
      </c>
      <c r="D22" s="51" t="n">
        <v>135.6416806576801</v>
      </c>
      <c r="E22" s="40">
        <f>(C22-B22)+C22</f>
        <v/>
      </c>
      <c r="F22" s="41">
        <f>(C22-D22)/C22</f>
        <v/>
      </c>
      <c r="G22" s="44" t="n">
        <v>11595</v>
      </c>
      <c r="H22" s="43" t="n">
        <v>11747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4470</v>
      </c>
      <c r="N22" s="21" t="n">
        <v>4514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7125</v>
      </c>
      <c r="T22" s="43" t="n">
        <v>7233</v>
      </c>
      <c r="U22" s="16">
        <f>M22-S22</f>
        <v/>
      </c>
      <c r="V22" s="17" t="n">
        <v>6</v>
      </c>
      <c r="W22" s="19">
        <f>T22+U22+V22</f>
        <v/>
      </c>
      <c r="AC22" s="42" t="n">
        <v>11578</v>
      </c>
      <c r="AD22" s="43" t="n">
        <v>11729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3799.899646442403</v>
      </c>
      <c r="C23" s="40" t="n">
        <v>3860.438672402298</v>
      </c>
      <c r="D23" s="51" t="n">
        <v>3854.550714038909</v>
      </c>
      <c r="E23" s="40">
        <f>(C23-B23)+C23</f>
        <v/>
      </c>
      <c r="F23" s="41">
        <f>(C23-D23)/C23</f>
        <v/>
      </c>
      <c r="G23" s="44" t="n">
        <v>411445</v>
      </c>
      <c r="H23" s="43" t="n">
        <v>416242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170059</v>
      </c>
      <c r="N23" s="21" t="n">
        <v>172189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241386</v>
      </c>
      <c r="T23" s="43" t="n">
        <v>244053</v>
      </c>
      <c r="U23" s="16">
        <f>M23-S23</f>
        <v/>
      </c>
      <c r="V23" s="17" t="n">
        <v>55</v>
      </c>
      <c r="W23" s="19">
        <f>T23+U23+V23</f>
        <v/>
      </c>
      <c r="AC23" s="42" t="n">
        <v>411333</v>
      </c>
      <c r="AD23" s="43" t="n">
        <v>416109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917.3388721656564</v>
      </c>
      <c r="C24" s="40" t="n">
        <v>931.6293638555816</v>
      </c>
      <c r="D24" s="51" t="n">
        <v>931.1005947966481</v>
      </c>
      <c r="E24" s="40">
        <f>(C24-B24)+C24</f>
        <v/>
      </c>
      <c r="F24" s="41">
        <f>(C24-D24)/C24</f>
        <v/>
      </c>
      <c r="G24" s="44" t="n">
        <v>100306</v>
      </c>
      <c r="H24" s="43" t="n">
        <v>101856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38943</v>
      </c>
      <c r="N24" s="21" t="n">
        <v>39451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61363</v>
      </c>
      <c r="T24" s="43" t="n">
        <v>62405</v>
      </c>
      <c r="U24" s="16">
        <f>M24-S24</f>
        <v/>
      </c>
      <c r="V24" s="17" t="n">
        <v>19</v>
      </c>
      <c r="W24" s="19">
        <f>T24+U24+V24</f>
        <v/>
      </c>
      <c r="AC24" s="42" t="n">
        <v>100265</v>
      </c>
      <c r="AD24" s="43" t="n">
        <v>101809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1168.122834147011</v>
      </c>
      <c r="C25" s="40" t="n">
        <v>1188.302099948036</v>
      </c>
      <c r="D25" s="51" t="n">
        <v>1184.996506906348</v>
      </c>
      <c r="E25" s="40">
        <f>(C25-B25)+C25</f>
        <v/>
      </c>
      <c r="F25" s="41">
        <f>(C25-D25)/C25</f>
        <v/>
      </c>
      <c r="G25" s="44" t="n">
        <v>150599</v>
      </c>
      <c r="H25" s="43" t="n">
        <v>151963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41277</v>
      </c>
      <c r="N25" s="21" t="n">
        <v>41898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109322</v>
      </c>
      <c r="T25" s="43" t="n">
        <v>110065</v>
      </c>
      <c r="U25" s="16">
        <f>M25-S25</f>
        <v/>
      </c>
      <c r="V25" s="17" t="n">
        <v>20</v>
      </c>
      <c r="W25" s="19">
        <f>T25+U25+V25</f>
        <v/>
      </c>
      <c r="AC25" s="42" t="n">
        <v>150564</v>
      </c>
      <c r="AD25" s="43" t="n">
        <v>151923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9962.333467861123</v>
      </c>
      <c r="C26" s="40" t="n">
        <v>10103.02659837152</v>
      </c>
      <c r="D26" s="51" t="n">
        <v>10105.9257483221</v>
      </c>
      <c r="E26" s="40">
        <f>(C26-B26)+C26</f>
        <v/>
      </c>
      <c r="F26" s="41">
        <f>(C26-D26)/C26</f>
        <v/>
      </c>
      <c r="G26" s="44" t="n">
        <v>169448</v>
      </c>
      <c r="H26" s="43" t="n">
        <v>171389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155637</v>
      </c>
      <c r="N26" s="21" t="n">
        <v>157418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13811</v>
      </c>
      <c r="T26" s="43" t="n">
        <v>13971</v>
      </c>
      <c r="U26" s="16">
        <f>M26-S26</f>
        <v/>
      </c>
      <c r="V26" s="17" t="n">
        <v>9</v>
      </c>
      <c r="W26" s="19">
        <f>T26+U26+V26</f>
        <v/>
      </c>
      <c r="AC26" s="42" t="n">
        <v>169273</v>
      </c>
      <c r="AD26" s="43" t="n">
        <v>171215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4682.99027436748</v>
      </c>
      <c r="C27" s="40" t="n">
        <v>4744.091934401206</v>
      </c>
      <c r="D27" s="51" t="n">
        <v>4741.866069814813</v>
      </c>
      <c r="E27" s="40">
        <f>(C27-B27)+C27</f>
        <v/>
      </c>
      <c r="F27" s="41">
        <f>(C27-D27)/C27</f>
        <v/>
      </c>
      <c r="G27" s="44" t="n">
        <v>289448</v>
      </c>
      <c r="H27" s="43" t="n">
        <v>293159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149732</v>
      </c>
      <c r="N27" s="21" t="n">
        <v>151680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139716</v>
      </c>
      <c r="T27" s="43" t="n">
        <v>141479</v>
      </c>
      <c r="U27" s="16">
        <f>M27-S27</f>
        <v/>
      </c>
      <c r="V27" s="17" t="n">
        <v>60</v>
      </c>
      <c r="W27" s="19">
        <f>T27+U27+V27</f>
        <v/>
      </c>
      <c r="AC27" s="42" t="n">
        <v>289288</v>
      </c>
      <c r="AD27" s="43" t="n">
        <v>292993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1515.533975726076</v>
      </c>
      <c r="C28" s="40" t="n">
        <v>1530.946205975675</v>
      </c>
      <c r="D28" s="51" t="n">
        <v>1530.926445767946</v>
      </c>
      <c r="E28" s="40">
        <f>(C28-B28)+C28</f>
        <v/>
      </c>
      <c r="F28" s="41">
        <f>(C28-D28)/C28</f>
        <v/>
      </c>
      <c r="G28" s="44" t="n">
        <v>46143</v>
      </c>
      <c r="H28" s="43" t="n">
        <v>46793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27754</v>
      </c>
      <c r="N28" s="21" t="n">
        <v>28088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18389</v>
      </c>
      <c r="T28" s="43" t="n">
        <v>18705</v>
      </c>
      <c r="U28" s="16">
        <f>M28-S28</f>
        <v/>
      </c>
      <c r="V28" s="17" t="n">
        <v>6</v>
      </c>
      <c r="W28" s="19">
        <f>T28+U28+V28</f>
        <v/>
      </c>
      <c r="AC28" s="42" t="n">
        <v>46112</v>
      </c>
      <c r="AD28" s="43" t="n">
        <v>46761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50.84225872790366</v>
      </c>
      <c r="C29" s="40" t="n">
        <v>51.62297131840753</v>
      </c>
      <c r="D29" s="51" t="n">
        <v>51.59080607121381</v>
      </c>
      <c r="E29" s="40">
        <f>(C29-B29)+C29</f>
        <v/>
      </c>
      <c r="F29" s="41">
        <f>(C29-D29)/C29</f>
        <v/>
      </c>
      <c r="G29" s="44" t="n">
        <v>3495</v>
      </c>
      <c r="H29" s="43" t="n">
        <v>3535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1299</v>
      </c>
      <c r="N29" s="21" t="n">
        <v>1315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2196</v>
      </c>
      <c r="T29" s="43" t="n">
        <v>2220</v>
      </c>
      <c r="U29" s="16">
        <f>M29-S29</f>
        <v/>
      </c>
      <c r="V29" s="17" t="n">
        <v>1</v>
      </c>
      <c r="W29" s="19">
        <f>T29+U29+V29</f>
        <v/>
      </c>
      <c r="AC29" s="42" t="n">
        <v>3489</v>
      </c>
      <c r="AD29" s="43" t="n">
        <v>3529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915.9204440518625</v>
      </c>
      <c r="C30" s="40" t="n">
        <v>930.1238510804385</v>
      </c>
      <c r="D30" s="51" t="n">
        <v>929.8772444094891</v>
      </c>
      <c r="E30" s="40">
        <f>(C30-B30)+C30</f>
        <v/>
      </c>
      <c r="F30" s="41">
        <f>(C30-D30)/C30</f>
        <v/>
      </c>
      <c r="G30" s="44" t="n">
        <v>86203</v>
      </c>
      <c r="H30" s="43" t="n">
        <v>87379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22196</v>
      </c>
      <c r="N30" s="21" t="n">
        <v>22477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64007</v>
      </c>
      <c r="T30" s="43" t="n">
        <v>64902</v>
      </c>
      <c r="U30" s="16">
        <f>M30-S30</f>
        <v/>
      </c>
      <c r="V30" s="17" t="n">
        <v>29</v>
      </c>
      <c r="W30" s="19">
        <f>T30+U30+V30</f>
        <v/>
      </c>
      <c r="AC30" s="42" t="n">
        <v>86169</v>
      </c>
      <c r="AD30" s="43" t="n">
        <v>87341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1792.80683410301</v>
      </c>
      <c r="C31" s="40" t="n">
        <v>1816.523838195033</v>
      </c>
      <c r="D31" s="51" t="n">
        <v>1814.903005686915</v>
      </c>
      <c r="E31" s="40">
        <f>(C31-B31)+C31</f>
        <v/>
      </c>
      <c r="F31" s="41">
        <f>(C31-D31)/C31</f>
        <v/>
      </c>
      <c r="G31" s="44" t="n">
        <v>172582</v>
      </c>
      <c r="H31" s="43" t="n">
        <v>175176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59631</v>
      </c>
      <c r="N31" s="21" t="n">
        <v>60372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112951</v>
      </c>
      <c r="T31" s="43" t="n">
        <v>114804</v>
      </c>
      <c r="U31" s="16">
        <f>M31-S31</f>
        <v/>
      </c>
      <c r="V31" s="17" t="n">
        <v>45</v>
      </c>
      <c r="W31" s="19">
        <f>T31+U31+V31</f>
        <v/>
      </c>
      <c r="AC31" s="42" t="n">
        <v>172506</v>
      </c>
      <c r="AD31" s="43" t="n">
        <v>175090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8937.527622228245</v>
      </c>
      <c r="C32" s="40" t="n">
        <v>9037.919260305043</v>
      </c>
      <c r="D32" s="51" t="n">
        <v>9029.269848932749</v>
      </c>
      <c r="E32" s="40">
        <f>(C32-B32)+C32</f>
        <v/>
      </c>
      <c r="F32" s="41">
        <f>(C32-D32)/C32</f>
        <v/>
      </c>
      <c r="G32" s="44" t="n">
        <v>350530</v>
      </c>
      <c r="H32" s="43" t="n">
        <v>355118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182205</v>
      </c>
      <c r="N32" s="21" t="n">
        <v>184720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168325</v>
      </c>
      <c r="T32" s="43" t="n">
        <v>170398</v>
      </c>
      <c r="U32" s="16">
        <f>M32-S32</f>
        <v/>
      </c>
      <c r="V32" s="17" t="n">
        <v>56</v>
      </c>
      <c r="W32" s="19">
        <f>T32+U32+V32</f>
        <v/>
      </c>
      <c r="AC32" s="42" t="n">
        <v>350373</v>
      </c>
      <c r="AD32" s="43" t="n">
        <v>354953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2195.831900978623</v>
      </c>
      <c r="C33" s="40" t="n">
        <v>2225.083343383665</v>
      </c>
      <c r="D33" s="51" t="n">
        <v>2223.597394550292</v>
      </c>
      <c r="E33" s="40">
        <f>(C33-B33)+C33</f>
        <v/>
      </c>
      <c r="F33" s="41">
        <f>(C33-D33)/C33</f>
        <v/>
      </c>
      <c r="G33" s="44" t="n">
        <v>106333</v>
      </c>
      <c r="H33" s="43" t="n">
        <v>107934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58635</v>
      </c>
      <c r="N33" s="21" t="n">
        <v>59414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47698</v>
      </c>
      <c r="T33" s="43" t="n">
        <v>48520</v>
      </c>
      <c r="U33" s="16">
        <f>M33-S33</f>
        <v/>
      </c>
      <c r="V33" s="17" t="n">
        <v>15</v>
      </c>
      <c r="W33" s="19">
        <f>T33+U33+V33</f>
        <v/>
      </c>
      <c r="AC33" s="42" t="n">
        <v>106273</v>
      </c>
      <c r="AD33" s="43" t="n">
        <v>107871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5554627.409727677</v>
      </c>
      <c r="C34" s="28" t="n">
        <v>5820137.990541538</v>
      </c>
      <c r="D34" s="53" t="n">
        <v>5799621.79003393</v>
      </c>
      <c r="E34" s="28">
        <f>(C34-B34)+C34</f>
        <v/>
      </c>
      <c r="F34" s="30">
        <f>(C34-D34)/C34</f>
        <v/>
      </c>
      <c r="G34" s="26" t="n">
        <v>52514858</v>
      </c>
      <c r="H34" s="31" t="n">
        <v>53537730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2905658</v>
      </c>
      <c r="N34" s="33" t="n">
        <v>2942991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3911617</v>
      </c>
      <c r="T34" s="31" t="n">
        <v>3965268</v>
      </c>
      <c r="U34" s="31" t="n">
        <v>240028</v>
      </c>
      <c r="V34" s="31" t="n">
        <v>1244</v>
      </c>
      <c r="W34" s="31">
        <f>T34+U34+V34</f>
        <v/>
      </c>
      <c r="X34" s="32" t="n">
        <v>45697583</v>
      </c>
      <c r="Y34" s="34" t="n">
        <v>46629471</v>
      </c>
      <c r="Z34" s="34" t="n">
        <v>4986</v>
      </c>
      <c r="AA34" s="34" t="n">
        <v>272</v>
      </c>
      <c r="AB34" s="34">
        <f>Y34+Z34+AA34</f>
        <v/>
      </c>
      <c r="AC34" s="35" t="n">
        <v>6813567</v>
      </c>
      <c r="AD34" s="31" t="n">
        <v>6904366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39017</v>
      </c>
      <c r="E39" s="17">
        <f>D39+C39</f>
        <v/>
      </c>
    </row>
    <row r="42">
      <c r="A42" s="9" t="n"/>
      <c r="B42" s="54" t="n"/>
    </row>
    <row r="44">
      <c r="A44" s="9" t="n"/>
    </row>
    <row r="45">
      <c r="A45" s="9" t="n"/>
      <c r="B45" s="54" t="n"/>
      <c r="E45" s="9" t="n"/>
    </row>
    <row r="47">
      <c r="A47" s="9" t="n"/>
      <c r="B47" s="54" t="n"/>
      <c r="E47" s="9" t="n"/>
    </row>
    <row r="49">
      <c r="A49" s="9" t="n"/>
      <c r="B49" s="54" t="n"/>
      <c r="E49" s="9" t="n"/>
    </row>
    <row r="51">
      <c r="A51" s="9" t="n"/>
      <c r="B51" s="54" t="n"/>
      <c r="E51" s="9" t="n"/>
    </row>
    <row r="53">
      <c r="A53" s="9" t="n"/>
      <c r="B53" s="54" t="n"/>
      <c r="E53" s="9" t="n"/>
    </row>
    <row r="55">
      <c r="A55" s="9" t="n"/>
      <c r="B55" s="54" t="n"/>
      <c r="E55" s="9" t="n"/>
    </row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T156378</dc:creator>
  <dcterms:created xmlns:dcterms="http://purl.org/dc/terms/" xmlns:xsi="http://www.w3.org/2001/XMLSchema-instance" xsi:type="dcterms:W3CDTF">2026-02-25T06:01:12Z</dcterms:created>
  <dcterms:modified xmlns:dcterms="http://purl.org/dc/terms/" xmlns:xsi="http://www.w3.org/2001/XMLSchema-instance" xsi:type="dcterms:W3CDTF">2026-02-25T06:56:34Z</dcterms:modified>
  <cp:lastModifiedBy>T156378</cp:lastModifiedBy>
</cp:coreProperties>
</file>