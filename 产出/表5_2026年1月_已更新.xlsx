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40" yWindow="2300" windowWidth="27700" windowHeight="16860" tabRatio="600" firstSheet="0" activeTab="11" autoFilterDateGrouping="1"/>
  </bookViews>
  <sheets>
    <sheet xmlns:r="http://schemas.openxmlformats.org/officeDocument/2006/relationships" name="2026年1月" sheetId="1" state="visible" r:id="rId1"/>
    <sheet xmlns:r="http://schemas.openxmlformats.org/officeDocument/2006/relationships" name="2025年12月" sheetId="2" state="visible" r:id="rId2"/>
    <sheet xmlns:r="http://schemas.openxmlformats.org/officeDocument/2006/relationships" name="2025年11月" sheetId="3" state="visible" r:id="rId3"/>
    <sheet xmlns:r="http://schemas.openxmlformats.org/officeDocument/2006/relationships" name="2025年10月" sheetId="4" state="visible" r:id="rId4"/>
    <sheet xmlns:r="http://schemas.openxmlformats.org/officeDocument/2006/relationships" name="2025年9月" sheetId="5" state="visible" r:id="rId5"/>
    <sheet xmlns:r="http://schemas.openxmlformats.org/officeDocument/2006/relationships" name="2025年8月" sheetId="6" state="visible" r:id="rId6"/>
    <sheet xmlns:r="http://schemas.openxmlformats.org/officeDocument/2006/relationships" name="2025年7月" sheetId="7" state="visible" r:id="rId7"/>
    <sheet xmlns:r="http://schemas.openxmlformats.org/officeDocument/2006/relationships" name="2025年6月" sheetId="8" state="visible" r:id="rId8"/>
    <sheet xmlns:r="http://schemas.openxmlformats.org/officeDocument/2006/relationships" name="2025年5月" sheetId="9" state="visible" r:id="rId9"/>
    <sheet xmlns:r="http://schemas.openxmlformats.org/officeDocument/2006/relationships" name="2025年4月" sheetId="10" state="visible" r:id="rId10"/>
    <sheet xmlns:r="http://schemas.openxmlformats.org/officeDocument/2006/relationships" name="2025年3月" sheetId="11" state="visible" r:id="rId11"/>
    <sheet xmlns:r="http://schemas.openxmlformats.org/officeDocument/2006/relationships" name="2025年2月" sheetId="12" state="visible" r:id="rId12"/>
    <sheet xmlns:r="http://schemas.openxmlformats.org/officeDocument/2006/relationships" name="2025年1月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000000_ "/>
    <numFmt numFmtId="166" formatCode="0.00000_ "/>
  </numFmts>
  <fonts count="19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仿宋_GB2312"/>
      <charset val="134"/>
      <family val="3"/>
      <sz val="11"/>
    </font>
    <font>
      <name val="仿宋_GB2312"/>
      <charset val="134"/>
      <family val="3"/>
      <b val="1"/>
      <sz val="11"/>
    </font>
    <font>
      <name val="Microsoft YaHei UI"/>
      <charset val="134"/>
      <family val="2"/>
      <sz val="11"/>
    </font>
    <font>
      <name val="Microsoft YaHei UI"/>
      <charset val="134"/>
      <family val="2"/>
      <b val="1"/>
      <color rgb="FFFF0000"/>
      <sz val="11"/>
    </font>
    <font>
      <name val="仿宋_GB2312"/>
      <charset val="134"/>
      <sz val="11"/>
    </font>
    <font>
      <name val="仿宋_GB2312"/>
      <charset val="134"/>
      <family val="3"/>
      <b val="1"/>
      <color rgb="FFFF0000"/>
      <sz val="11"/>
    </font>
    <font>
      <name val="Microsoft YaHei UI"/>
      <charset val="134"/>
      <family val="3"/>
      <b val="1"/>
      <color rgb="FFFF0000"/>
      <sz val="11"/>
    </font>
    <font>
      <name val="仿宋_GB2312"/>
      <charset val="134"/>
      <color rgb="FFFF0000"/>
      <sz val="11"/>
    </font>
    <font>
      <name val="宋体"/>
      <charset val="134"/>
      <family val="3"/>
      <sz val="11"/>
    </font>
    <font>
      <name val="宋体"/>
      <charset val="134"/>
      <family val="3"/>
      <b val="1"/>
      <color rgb="FFFF0000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Microsoft YaHei UI"/>
      <charset val="134"/>
      <family val="2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5" fillId="5" borderId="16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40" fontId="1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2" fontId="0" fillId="0" borderId="0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17" fillId="5" borderId="18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3" fillId="0" borderId="1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0" fontId="0" fillId="0" borderId="0" applyAlignment="1" pivotButton="0" quotePrefix="0" xfId="0">
      <alignment vertical="center"/>
    </xf>
    <xf numFmtId="0" fontId="16" fillId="0" borderId="17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13" fillId="6" borderId="0" applyAlignment="1" pivotButton="0" quotePrefix="0" xfId="0">
      <alignment vertical="center"/>
    </xf>
    <xf numFmtId="40" fontId="1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165" fontId="0" fillId="6" borderId="0" applyAlignment="1" pivotButton="0" quotePrefix="0" xfId="0">
      <alignment vertical="center"/>
    </xf>
    <xf numFmtId="2" fontId="0" fillId="6" borderId="0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17" fillId="7" borderId="0" applyAlignment="1" pivotButton="0" quotePrefix="0" xfId="0">
      <alignment vertical="center"/>
    </xf>
    <xf numFmtId="0" fontId="0" fillId="7" borderId="17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7" fillId="7" borderId="18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7" fillId="6" borderId="0" applyAlignment="1" pivotButton="0" quotePrefix="0" xfId="0">
      <alignment vertical="center"/>
    </xf>
    <xf numFmtId="0" fontId="13" fillId="6" borderId="17" applyAlignment="1" pivotButton="0" quotePrefix="0" xfId="0">
      <alignment vertical="center"/>
    </xf>
    <xf numFmtId="2" fontId="0" fillId="8" borderId="0" applyAlignment="1" pivotButton="0" quotePrefix="0" xfId="0">
      <alignment vertical="center"/>
    </xf>
    <xf numFmtId="164" fontId="13" fillId="8" borderId="0" applyAlignment="1" pivotButton="0" quotePrefix="0" xfId="0">
      <alignment vertical="center"/>
    </xf>
    <xf numFmtId="40" fontId="17" fillId="8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0" fontId="0" fillId="8" borderId="0" applyAlignment="1" pivotButton="0" quotePrefix="0" xfId="1">
      <alignment vertical="center"/>
    </xf>
    <xf numFmtId="0" fontId="0" fillId="8" borderId="0" applyAlignment="1" pivotButton="0" quotePrefix="0" xfId="0">
      <alignment vertical="center"/>
    </xf>
    <xf numFmtId="0" fontId="13" fillId="8" borderId="17" applyAlignment="1" pivotButton="0" quotePrefix="0" xfId="0">
      <alignment vertical="center"/>
    </xf>
    <xf numFmtId="0" fontId="17" fillId="8" borderId="0" applyAlignment="1" pivotButton="0" quotePrefix="0" xfId="0">
      <alignment vertical="center"/>
    </xf>
    <xf numFmtId="0" fontId="17" fillId="8" borderId="18" applyAlignment="1" pivotButton="0" quotePrefix="0" xfId="0">
      <alignment vertical="center"/>
    </xf>
    <xf numFmtId="0" fontId="13" fillId="8" borderId="19" applyAlignment="1" pivotButton="0" quotePrefix="0" xfId="0">
      <alignment vertical="center"/>
    </xf>
    <xf numFmtId="0" fontId="17" fillId="8" borderId="20" applyAlignment="1" pivotButton="0" quotePrefix="0" xfId="0">
      <alignment vertical="center"/>
    </xf>
    <xf numFmtId="0" fontId="17" fillId="8" borderId="21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1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164" fontId="13" fillId="8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tc={8F74668A-066D-214D-9694-5A01C25EA4D7}</author>
    <author>tc={5B317E9C-5275-BB48-8F39-D6DB43CBE576}</author>
    <author>tc={E0780916-1CA5-7D4C-9A72-9EB002965B3D}</author>
    <author>tc={00285BA8-6C68-CD48-B7D8-BB3B85E5CE1F}</author>
    <author>tc={29CC96A9-8533-9141-8B68-C781D11EB2E1}</author>
    <author>tc={2D408C55-8902-7442-BA0E-8DA2E7061E3D}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2.xml><?xml version="1.0" encoding="utf-8"?>
<comments xmlns="http://schemas.openxmlformats.org/spreadsheetml/2006/main">
  <authors>
    <author>tc={8F74668A-066D-214D-9694-5A01C25EA4D7}</author>
    <author>tc={5B317E9C-5275-BB48-8F39-D6DB43CBE576}</author>
    <author>tc={E0780916-1CA5-7D4C-9A72-9EB002965B3D}</author>
    <author>tc={00285BA8-6C68-CD48-B7D8-BB3B85E5CE1F}</author>
    <author>tc={29CC96A9-8533-9141-8B68-C781D11EB2E1}</author>
    <author>tc={2D408C55-8902-7442-BA0E-8DA2E7061E3D}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3.xml><?xml version="1.0" encoding="utf-8"?>
<comments xmlns="http://schemas.openxmlformats.org/spreadsheetml/2006/main">
  <authors>
    <author>tc={903FF914-4A26-D149-8BDC-4CE8C5CC96EC}</author>
    <author>tc={362FA0FC-6BC6-A748-BCC0-33C4A1F1D2FB}</author>
    <author>tc={BC62D827-0038-D64B-B814-EC611482C1E2}</author>
    <author>tc={D1FE787A-1A50-A743-87A8-B48CEE2749CC}</author>
    <author>tc={58A3F074-E3AF-0046-93EF-F7E60E745714}</author>
    <author>tc={8A342C25-DDF9-9D4D-8024-1CBFB157A48D}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4.xml><?xml version="1.0" encoding="utf-8"?>
<comments xmlns="http://schemas.openxmlformats.org/spreadsheetml/2006/main">
  <authors>
    <author>tc={AD9E9F66-5ED0-424D-BEB4-7A2389316FCA}</author>
    <author>tc={72DE5709-EACA-3046-AEF3-BC229010E880}</author>
    <author>tc={5E7DF59B-650D-9247-8424-BC181DBA9088}</author>
    <author>tc={4DBDB8D3-0F01-4545-8C60-AADE8B29F5FC}</author>
    <author>tc={2D386A8A-E605-8444-AEF5-684C761DB836}</author>
    <author>tc={1BB50BEF-9595-DD4C-81CF-C691BB044144}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5.xml><?xml version="1.0" encoding="utf-8"?>
<comments xmlns="http://schemas.openxmlformats.org/spreadsheetml/2006/main">
  <authors>
    <author>tc={FA0E1B97-3D79-8645-879B-D8A910238C5D}</author>
    <author>tc={2FE92858-462D-9346-A7E9-1252D1881176}</author>
    <author>tc={79EA1B1A-36F2-0C47-87F3-3BBA09A9DA1C}</author>
    <author>tc={9441BE1F-F2C7-B745-9FA9-D51E736BE4DA}</author>
    <author>tc={7004854A-A939-814E-959A-BA169DC8A799}</author>
    <author>tc={D5EAC4CD-2A7F-574D-AEE8-8441C5A436A8}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6.xml><?xml version="1.0" encoding="utf-8"?>
<comments xmlns="http://schemas.openxmlformats.org/spreadsheetml/2006/main">
  <authors>
    <author>tc={ADA12608-8495-2B43-8C39-3D3096F5970C}</author>
    <author>tc={4B4A96CA-5423-F74D-92B3-664B32F8F4E3}</author>
    <author>tc={9E6D8003-AF45-C84E-B02B-67C851D54D0E}</author>
    <author>tc={A44635D5-1F01-9646-80B6-31A7CAB8D499}</author>
    <author>tc={B93EFFAA-E0B6-4E48-BC10-35B3B3485039}</author>
    <author>tc={C7AA72DB-4B32-DF4E-99D8-781A6EAFFD6E}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7.xml><?xml version="1.0" encoding="utf-8"?>
<comments xmlns="http://schemas.openxmlformats.org/spreadsheetml/2006/main">
  <authors>
    <author>tc={2A207A71-E5FE-9E45-84F4-9B236EAF7693}</author>
    <author>tc={912CD46E-E1D5-D34B-A1FE-8B8763EEE515}</author>
    <author>tc={ACDAA922-D071-6748-BD4F-E3EAC78F72E6}</author>
    <author>tc={ECD46D22-9CC9-9C47-8886-E938727DFA6C}</author>
    <author>tc={A15A252B-442C-C546-A0C4-B7F266926C76}</author>
    <author>tc={42C717A5-32AE-0140-94A6-DFECD1443CEF}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8.xml><?xml version="1.0" encoding="utf-8"?>
<comments xmlns="http://schemas.openxmlformats.org/spreadsheetml/2006/main">
  <authors>
    <author>tc={07766962-D54B-0A44-AAD5-7E39B7A8FE5B}</author>
    <author>tc={116CFFA2-08D1-2A45-A644-FC1EC636BA8A}</author>
    <author>tc={6664016D-38CD-FF4E-9936-157C4EAAFCB8}</author>
    <author>tc={25312890-7AA7-904D-B072-B041B67948BC}</author>
    <author>tc={D05AC3B4-FC5B-3349-B506-DFCFD302A337}</author>
    <author>tc={52F048FA-3E9F-BE4B-A8E5-4FAA67207DF1}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9.xml><?xml version="1.0" encoding="utf-8"?>
<comments xmlns="http://schemas.openxmlformats.org/spreadsheetml/2006/main">
  <authors>
    <author>tc={719F5F00-B15E-374D-844D-F805A17C42B1}</author>
    <author>tc={255BED43-05FE-E242-9FAE-7EDD5E315868}</author>
    <author>tc={DC4E1889-D0E4-9949-A460-BB739386568E}</author>
    <author>tc={8E58A22A-15B1-814B-8B67-251B272CCCDC}</author>
    <author>tc={2DDCB3C2-C278-F349-A1A1-CC55A7D668A6}</author>
    <author>tc={9BC36ED2-0A2B-5342-84F7-98E7BB6D1340}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0.xml><?xml version="1.0" encoding="utf-8"?>
<comments xmlns="http://schemas.openxmlformats.org/spreadsheetml/2006/main">
  <authors>
    <author>tc={0B604652-59D4-CA40-B6B4-C0FFA1331DFC}</author>
    <author>tc={801A13DE-92AC-2649-B775-40A26EB4D0FD}</author>
    <author>tc={B775D1B3-35BB-9841-87F4-AC25A9C0BFDE}</author>
    <author>tc={B480FF62-6BE1-BC4A-B10A-EF175CC6047D}</author>
    <author>tc={9B362A42-66E4-5D49-9341-806FF586A886}</author>
    <author>tc={BE75369F-43AB-1444-90C8-61F49660D1FE}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1.xml><?xml version="1.0" encoding="utf-8"?>
<comments xmlns="http://schemas.openxmlformats.org/spreadsheetml/2006/main">
  <authors>
    <author>tc={8AFEB6DF-E2A5-8041-B6CD-E40068A00250}</author>
    <author>tc={447016DE-B03C-3042-A0E1-6C24AB70ABA3}</author>
    <author>tc={A14AEF2D-DD81-4441-88B0-8F090EBA5F82}</author>
    <author>tc={53B08EC1-CBEF-C242-BAA0-EA166FC1FB4F}</author>
    <author>tc={B72D7D92-7843-9C43-8FB6-44F2B1A0D429}</author>
    <author>tc={166C99F1-4827-944E-A9E1-44C3DF9366EA}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2.xml><?xml version="1.0" encoding="utf-8"?>
<comments xmlns="http://schemas.openxmlformats.org/spreadsheetml/2006/main">
  <authors>
    <author>tc={3E77D2CB-6F9C-A641-8236-A2E7BEAE5C58}</author>
    <author>tc={818BF026-AE4F-4B42-97B6-2F4FF2A8A82E}</author>
    <author>tc={F91392D9-E53F-D64D-A126-0A8431F121D4}</author>
    <author>tc={EFE86A79-368E-CC46-87AC-80DD1AC63BE6}</author>
    <author>tc={4060494D-9506-4F47-AFA0-3ACC0CFA9545}</author>
    <author>tc={6C6DEA66-6BF4-7C4E-85F7-47D6B60C7A09}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3.xml><?xml version="1.0" encoding="utf-8"?>
<comments xmlns="http://schemas.openxmlformats.org/spreadsheetml/2006/main">
  <authors>
    <author>tc={A69F4FFE-175C-6149-8FF1-CB21C5C4BD02}</author>
    <author>tc={E45F4CF4-4A11-184E-BC61-C136162379F7}</author>
    <author>tc={BB829988-1551-5F4C-9295-17FE98FAB805}</author>
    <author>tc={D16AACA8-3FE2-9446-B611-D07AE6C36968}</author>
    <author>tc={3AEDE609-FB2E-C84D-B1E2-DC95DCDC7A3D}</author>
    <author>tc={65A43451-17B6-934D-A683-8CF6472F2234}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/>
      <c r="AH2" s="24" t="n"/>
      <c r="AI2" s="41" t="n"/>
      <c r="AJ2" s="42" t="n"/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2340.255219329598</v>
      </c>
      <c r="C3" s="45" t="n">
        <v>2367.453914387771</v>
      </c>
      <c r="D3" s="95" t="n">
        <v>2367.453914387771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177960</v>
      </c>
      <c r="L3" s="50" t="n">
        <v>180061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81732</v>
      </c>
      <c r="R3" s="56" t="n">
        <v>82718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96228</v>
      </c>
      <c r="X3" s="50" t="n">
        <v>97343</v>
      </c>
      <c r="Y3" s="51">
        <f>M3-S3</f>
        <v/>
      </c>
      <c r="Z3" s="52" t="n">
        <v>36</v>
      </c>
      <c r="AA3" s="54">
        <f>X3+Y3+Z3</f>
        <v/>
      </c>
      <c r="AK3" s="57" t="n">
        <v>177882</v>
      </c>
      <c r="AL3" s="50" t="n">
        <v>180065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113541.7340347608</v>
      </c>
      <c r="C4" s="45" t="n">
        <v>115962.9220930285</v>
      </c>
      <c r="D4" s="95" t="n">
        <v>115962.9220930285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191386</v>
      </c>
      <c r="L4" s="50" t="n">
        <v>193589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182720</v>
      </c>
      <c r="R4" s="56" t="n">
        <v>184818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8666</v>
      </c>
      <c r="X4" s="50" t="n">
        <v>8773</v>
      </c>
      <c r="Y4" s="51">
        <f>M4-S4</f>
        <v/>
      </c>
      <c r="Z4" s="52" t="n">
        <v>6</v>
      </c>
      <c r="AA4" s="54">
        <f>X4+Y4+Z4</f>
        <v/>
      </c>
      <c r="AK4" s="57" t="n">
        <v>191018</v>
      </c>
      <c r="AL4" s="50" t="n">
        <v>193277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3140.219882787038</v>
      </c>
      <c r="C5" s="45" t="n">
        <v>3179.958172001231</v>
      </c>
      <c r="D5" s="95" t="n">
        <v>3180.754985390673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353907</v>
      </c>
      <c r="L5" s="50" t="n">
        <v>357546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107279</v>
      </c>
      <c r="R5" s="56" t="n">
        <v>108495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246628</v>
      </c>
      <c r="X5" s="50" t="n">
        <v>249063</v>
      </c>
      <c r="Y5" s="51">
        <f>M5-S5</f>
        <v/>
      </c>
      <c r="Z5" s="52" t="n">
        <v>38</v>
      </c>
      <c r="AA5" s="54">
        <f>X5+Y5+Z5</f>
        <v/>
      </c>
      <c r="AK5" s="57" t="n">
        <v>353783</v>
      </c>
      <c r="AL5" s="50" t="n">
        <v>357495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516.239901112217</v>
      </c>
      <c r="C6" s="45" t="n">
        <v>523.8203356524825</v>
      </c>
      <c r="D6" s="95" t="n">
        <v>523.8203356524825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58610</v>
      </c>
      <c r="L6" s="56" t="n">
        <v>59191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22837</v>
      </c>
      <c r="R6" s="56" t="n">
        <v>23084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35773</v>
      </c>
      <c r="X6" s="50" t="n">
        <v>36105</v>
      </c>
      <c r="Y6" s="51">
        <f>M6-S6</f>
        <v/>
      </c>
      <c r="Z6" s="52" t="n">
        <v>4</v>
      </c>
      <c r="AA6" s="54">
        <f>X6+Y6+Z6</f>
        <v/>
      </c>
      <c r="AK6" s="61" t="n">
        <v>58590</v>
      </c>
      <c r="AL6" s="56" t="n">
        <v>59176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15740.70302640792</v>
      </c>
      <c r="C7" s="45" t="n">
        <v>15955.03843146871</v>
      </c>
      <c r="D7" s="95" t="n">
        <v>15978.24716163468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851673</v>
      </c>
      <c r="L7" s="50" t="n">
        <v>866250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444855</v>
      </c>
      <c r="R7" s="56" t="n">
        <v>450879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406818</v>
      </c>
      <c r="X7" s="50" t="n">
        <v>415371</v>
      </c>
      <c r="Y7" s="51">
        <f>M7-S7</f>
        <v/>
      </c>
      <c r="Z7" s="52" t="n">
        <v>96</v>
      </c>
      <c r="AA7" s="54">
        <f>X7+Y7+Z7</f>
        <v/>
      </c>
      <c r="AK7" s="57" t="n">
        <v>851200</v>
      </c>
      <c r="AL7" s="50" t="n">
        <v>865758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1841.535012269359</v>
      </c>
      <c r="C8" s="45" t="n">
        <v>1862.924650733859</v>
      </c>
      <c r="D8" s="95" t="n">
        <v>1863.722805313432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144546</v>
      </c>
      <c r="L8" s="50" t="n">
        <v>146161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59140</v>
      </c>
      <c r="R8" s="56" t="n">
        <v>59809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85406</v>
      </c>
      <c r="X8" s="50" t="n">
        <v>86352</v>
      </c>
      <c r="Y8" s="51">
        <f>M8-S8</f>
        <v/>
      </c>
      <c r="Z8" s="52" t="n">
        <v>23</v>
      </c>
      <c r="AA8" s="54">
        <f>X8+Y8+Z8</f>
        <v/>
      </c>
      <c r="AK8" s="57" t="n">
        <v>144469</v>
      </c>
      <c r="AL8" s="50" t="n">
        <v>146342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2722.276854667557</v>
      </c>
      <c r="C9" s="45" t="n">
        <v>2735.13279168342</v>
      </c>
      <c r="D9" s="95" t="n">
        <v>2735.13279168342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100340</v>
      </c>
      <c r="L9" s="50" t="n">
        <v>101886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44263</v>
      </c>
      <c r="R9" s="56" t="n">
        <v>44786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56077</v>
      </c>
      <c r="X9" s="50" t="n">
        <v>57033</v>
      </c>
      <c r="Y9" s="51">
        <f>M9-S9</f>
        <v/>
      </c>
      <c r="Z9" s="52" t="n">
        <v>27</v>
      </c>
      <c r="AA9" s="54">
        <f>X9+Y9+Z9</f>
        <v/>
      </c>
      <c r="AK9" s="57" t="n">
        <v>100299</v>
      </c>
      <c r="AL9" s="50" t="n">
        <v>101844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3064.890305367007</v>
      </c>
      <c r="C10" s="45" t="n">
        <v>3090.287032562509</v>
      </c>
      <c r="D10" s="95" t="n">
        <v>3089.117801856133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235671</v>
      </c>
      <c r="L10" s="50" t="n">
        <v>238112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41705</v>
      </c>
      <c r="R10" s="56" t="n">
        <v>42258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193966</v>
      </c>
      <c r="X10" s="50" t="n">
        <v>195797</v>
      </c>
      <c r="Y10" s="51">
        <f>M10-S10</f>
        <v/>
      </c>
      <c r="Z10" s="52" t="n">
        <v>44</v>
      </c>
      <c r="AA10" s="54">
        <f>X10+Y10+Z10</f>
        <v/>
      </c>
      <c r="AK10" s="57" t="n">
        <v>235648</v>
      </c>
      <c r="AL10" s="50" t="n">
        <v>238089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1831.495869356981</v>
      </c>
      <c r="C11" s="45" t="n">
        <v>1859.55402307786</v>
      </c>
      <c r="D11" s="95" t="n">
        <v>1859.441143452942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211903</v>
      </c>
      <c r="L11" s="50" t="n">
        <v>214664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78646</v>
      </c>
      <c r="R11" s="56" t="n">
        <v>79647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133257</v>
      </c>
      <c r="X11" s="50" t="n">
        <v>134909</v>
      </c>
      <c r="Y11" s="51">
        <f>M11-S11</f>
        <v/>
      </c>
      <c r="Z11" s="52" t="n">
        <v>53</v>
      </c>
      <c r="AA11" s="54">
        <f>X11+Y11+Z11</f>
        <v/>
      </c>
      <c r="AK11" s="57" t="n">
        <v>211816</v>
      </c>
      <c r="AL11" s="50" t="n">
        <v>214678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3335.558314409642</v>
      </c>
      <c r="C12" s="45" t="n">
        <v>3383.738899510551</v>
      </c>
      <c r="D12" s="95" t="n">
        <v>3401.255961643376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327395</v>
      </c>
      <c r="L12" s="50" t="n">
        <v>332320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126795</v>
      </c>
      <c r="R12" s="56" t="n">
        <v>128610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200600</v>
      </c>
      <c r="X12" s="50" t="n">
        <v>203819</v>
      </c>
      <c r="Y12" s="51">
        <f>M12-S12</f>
        <v/>
      </c>
      <c r="Z12" s="52" t="n">
        <v>64</v>
      </c>
      <c r="AA12" s="54">
        <f>X12+Y12+Z12</f>
        <v/>
      </c>
      <c r="AK12" s="57" t="n">
        <v>327233</v>
      </c>
      <c r="AL12" s="50" t="n">
        <v>333304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947.1211584316377</v>
      </c>
      <c r="C13" s="45" t="n">
        <v>960.0489689283843</v>
      </c>
      <c r="D13" s="95" t="n">
        <v>960.0489689283843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82842</v>
      </c>
      <c r="L13" s="50" t="n">
        <v>83818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23047</v>
      </c>
      <c r="R13" s="56" t="n">
        <v>23318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59795</v>
      </c>
      <c r="X13" s="50" t="n">
        <v>60500</v>
      </c>
      <c r="Y13" s="51">
        <f>M13-S13</f>
        <v/>
      </c>
      <c r="Z13" s="52" t="n">
        <v>36</v>
      </c>
      <c r="AA13" s="54">
        <f>X13+Y13+Z13</f>
        <v/>
      </c>
      <c r="AK13" s="57" t="n">
        <v>82801</v>
      </c>
      <c r="AL13" s="50" t="n">
        <v>83911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4015.011143162104</v>
      </c>
      <c r="C14" s="45" t="n">
        <v>4061.911350205058</v>
      </c>
      <c r="D14" s="95" t="n">
        <v>4061.911350205058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279940</v>
      </c>
      <c r="L14" s="50" t="n">
        <v>284807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97922</v>
      </c>
      <c r="R14" s="56" t="n">
        <v>99397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182018</v>
      </c>
      <c r="X14" s="50" t="n">
        <v>185232</v>
      </c>
      <c r="Y14" s="51">
        <f>M14-S14</f>
        <v/>
      </c>
      <c r="Z14" s="52" t="n">
        <v>50</v>
      </c>
      <c r="AA14" s="54">
        <f>X14+Y14+Z14</f>
        <v/>
      </c>
      <c r="AK14" s="57" t="n">
        <v>279819</v>
      </c>
      <c r="AL14" s="50" t="n">
        <v>284681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3163.738540786717</v>
      </c>
      <c r="C15" s="45" t="n">
        <v>3214.622300526846</v>
      </c>
      <c r="D15" s="95" t="n">
        <v>3212.241408601924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271799</v>
      </c>
      <c r="L15" s="50" t="n">
        <v>276508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89744</v>
      </c>
      <c r="R15" s="56" t="n">
        <v>90905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182055</v>
      </c>
      <c r="X15" s="50" t="n">
        <v>185464</v>
      </c>
      <c r="Y15" s="51">
        <f>M15-S15</f>
        <v/>
      </c>
      <c r="Z15" s="52" t="n">
        <v>53</v>
      </c>
      <c r="AA15" s="54">
        <f>X15+Y15+Z15</f>
        <v/>
      </c>
      <c r="AK15" s="57" t="n">
        <v>271672</v>
      </c>
      <c r="AL15" s="50" t="n">
        <v>276618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559.9704832858788</v>
      </c>
      <c r="C16" s="45" t="n">
        <v>569.2732098757183</v>
      </c>
      <c r="D16" s="95" t="n">
        <v>572.2755034341999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75778</v>
      </c>
      <c r="L16" s="50" t="n">
        <v>76824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21542</v>
      </c>
      <c r="R16" s="56" t="n">
        <v>21860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54236</v>
      </c>
      <c r="X16" s="50" t="n">
        <v>54955</v>
      </c>
      <c r="Y16" s="51">
        <f>M16-S16</f>
        <v/>
      </c>
      <c r="Z16" s="52" t="n">
        <v>11</v>
      </c>
      <c r="AA16" s="54">
        <f>X16+Y16+Z16</f>
        <v/>
      </c>
      <c r="AK16" s="57" t="n">
        <v>75752</v>
      </c>
      <c r="AL16" s="50" t="n">
        <v>76847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5156.066826425629</v>
      </c>
      <c r="C17" s="45" t="n">
        <v>5221.353867651102</v>
      </c>
      <c r="D17" s="95" t="n">
        <v>5222.212930325747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323729</v>
      </c>
      <c r="L17" s="50" t="n">
        <v>327394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160870</v>
      </c>
      <c r="R17" s="56" t="n">
        <v>162676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162859</v>
      </c>
      <c r="X17" s="50" t="n">
        <v>164718</v>
      </c>
      <c r="Y17" s="51">
        <f>M17-S17</f>
        <v/>
      </c>
      <c r="Z17" s="52" t="n">
        <v>147</v>
      </c>
      <c r="AA17" s="54">
        <f>X17+Y17+Z17</f>
        <v/>
      </c>
      <c r="AK17" s="57" t="n">
        <v>323584</v>
      </c>
      <c r="AL17" s="50" t="n">
        <v>327434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1698.69561921818</v>
      </c>
      <c r="C18" s="45" t="n">
        <v>1716.622158067701</v>
      </c>
      <c r="D18" s="95" t="n">
        <v>1713.881160428008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289027</v>
      </c>
      <c r="L18" s="50" t="n">
        <v>290485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40347</v>
      </c>
      <c r="R18" s="56" t="n">
        <v>40922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248680</v>
      </c>
      <c r="X18" s="50" t="n">
        <v>249548</v>
      </c>
      <c r="Y18" s="51">
        <f>M18-S18</f>
        <v/>
      </c>
      <c r="Z18" s="52" t="n">
        <v>28</v>
      </c>
      <c r="AA18" s="54">
        <f>X18+Y18+Z18</f>
        <v/>
      </c>
      <c r="AK18" s="57" t="n">
        <v>288909</v>
      </c>
      <c r="AL18" s="50" t="n">
        <v>290528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1728.321706582205</v>
      </c>
      <c r="C19" s="45" t="n">
        <v>1752.197245888878</v>
      </c>
      <c r="D19" s="95" t="n">
        <v>1752.197245888878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135051</v>
      </c>
      <c r="L19" s="50" t="n">
        <v>137399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45807</v>
      </c>
      <c r="R19" s="56" t="n">
        <v>46462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89244</v>
      </c>
      <c r="X19" s="50" t="n">
        <v>91012</v>
      </c>
      <c r="Y19" s="51">
        <f>M19-S19</f>
        <v/>
      </c>
      <c r="Z19" s="52" t="n">
        <v>60</v>
      </c>
      <c r="AA19" s="54">
        <f>X19+Y19+Z19</f>
        <v/>
      </c>
      <c r="AK19" s="57" t="n">
        <v>134970</v>
      </c>
      <c r="AL19" s="50" t="n">
        <v>137623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692.9377839760051</v>
      </c>
      <c r="C20" s="45" t="n">
        <v>704.323514794913</v>
      </c>
      <c r="D20" s="95" t="n">
        <v>705.2936881876783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82015</v>
      </c>
      <c r="L20" s="50" t="n">
        <v>83455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23963</v>
      </c>
      <c r="R20" s="56" t="n">
        <v>24276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58052</v>
      </c>
      <c r="X20" s="50" t="n">
        <v>59177</v>
      </c>
      <c r="Y20" s="51">
        <f>M20-S20</f>
        <v/>
      </c>
      <c r="Z20" s="52" t="n">
        <v>24</v>
      </c>
      <c r="AA20" s="54">
        <f>X20+Y20+Z20</f>
        <v/>
      </c>
      <c r="AK20" s="57" t="n">
        <v>81960</v>
      </c>
      <c r="AL20" s="50" t="n">
        <v>84255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248.2121800987668</v>
      </c>
      <c r="C21" s="45" t="n">
        <v>251.9964957997</v>
      </c>
      <c r="D21" s="95" t="n">
        <v>252.0530511300727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23656</v>
      </c>
      <c r="L21" s="56" t="n">
        <v>23961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9806</v>
      </c>
      <c r="R21" s="56" t="n">
        <v>9923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13850</v>
      </c>
      <c r="X21" s="50" t="n">
        <v>14027</v>
      </c>
      <c r="Y21" s="51">
        <f>M21-S21</f>
        <v/>
      </c>
      <c r="Z21" s="52" t="n">
        <v>25</v>
      </c>
      <c r="AA21" s="54">
        <f>X21+Y21+Z21</f>
        <v/>
      </c>
      <c r="AK21" s="61" t="n">
        <v>23641</v>
      </c>
      <c r="AL21" s="56" t="n">
        <v>23952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135.7918965036275</v>
      </c>
      <c r="C22" s="45" t="n">
        <v>138.0430403374246</v>
      </c>
      <c r="D22" s="95" t="n">
        <v>138.0430403374246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11747</v>
      </c>
      <c r="L22" s="50" t="n">
        <v>11899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4514</v>
      </c>
      <c r="R22" s="56" t="n">
        <v>4564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7233</v>
      </c>
      <c r="X22" s="50" t="n">
        <v>7329</v>
      </c>
      <c r="Y22" s="51">
        <f>M22-S22</f>
        <v/>
      </c>
      <c r="Z22" s="52" t="n">
        <v>6</v>
      </c>
      <c r="AA22" s="54">
        <f>X22+Y22+Z22</f>
        <v/>
      </c>
      <c r="AK22" s="57" t="n">
        <v>11729</v>
      </c>
      <c r="AL22" s="50" t="n">
        <v>11880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3860.438672402298</v>
      </c>
      <c r="C23" s="45" t="n">
        <v>3918.403002350532</v>
      </c>
      <c r="D23" s="95" t="n">
        <v>3920.977698362194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416242</v>
      </c>
      <c r="L23" s="50" t="n">
        <v>421039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172189</v>
      </c>
      <c r="R23" s="56" t="n">
        <v>174191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244053</v>
      </c>
      <c r="X23" s="50" t="n">
        <v>246720</v>
      </c>
      <c r="Y23" s="51">
        <f>M23-S23</f>
        <v/>
      </c>
      <c r="Z23" s="52" t="n">
        <v>55</v>
      </c>
      <c r="AA23" s="54">
        <f>X23+Y23+Z23</f>
        <v/>
      </c>
      <c r="AK23" s="57" t="n">
        <v>416109</v>
      </c>
      <c r="AL23" s="50" t="n">
        <v>420885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931.6293638555816</v>
      </c>
      <c r="C24" s="45" t="n">
        <v>945.9198555455067</v>
      </c>
      <c r="D24" s="95" t="n">
        <v>945.9198555455067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101856</v>
      </c>
      <c r="L24" s="50" t="n">
        <v>103148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39451</v>
      </c>
      <c r="R24" s="56" t="n">
        <v>39959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62405</v>
      </c>
      <c r="X24" s="50" t="n">
        <v>63174</v>
      </c>
      <c r="Y24" s="51">
        <f>M24-S24</f>
        <v/>
      </c>
      <c r="Z24" s="52" t="n">
        <v>19</v>
      </c>
      <c r="AA24" s="54">
        <f>X24+Y24+Z24</f>
        <v/>
      </c>
      <c r="AK24" s="57" t="n">
        <v>101809</v>
      </c>
      <c r="AL24" s="50" t="n">
        <v>103353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1188.302099948036</v>
      </c>
      <c r="C25" s="45" t="n">
        <v>1206.373038146343</v>
      </c>
      <c r="D25" s="95" t="n">
        <v>1208.481365749062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151963</v>
      </c>
      <c r="L25" s="50" t="n">
        <v>153237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41898</v>
      </c>
      <c r="R25" s="56" t="n">
        <v>42502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110065</v>
      </c>
      <c r="X25" s="50" t="n">
        <v>110735</v>
      </c>
      <c r="Y25" s="51">
        <f>M25-S25</f>
        <v/>
      </c>
      <c r="Z25" s="52" t="n">
        <v>20</v>
      </c>
      <c r="AA25" s="54">
        <f>X25+Y25+Z25</f>
        <v/>
      </c>
      <c r="AK25" s="57" t="n">
        <v>151923</v>
      </c>
      <c r="AL25" s="50" t="n">
        <v>153282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10103.02659837152</v>
      </c>
      <c r="C26" s="45" t="n">
        <v>10246.6188788325</v>
      </c>
      <c r="D26" s="95" t="n">
        <v>10243.71972888192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171389</v>
      </c>
      <c r="L26" s="50" t="n">
        <v>173274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157418</v>
      </c>
      <c r="R26" s="56" t="n">
        <v>159138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13971</v>
      </c>
      <c r="X26" s="50" t="n">
        <v>14131</v>
      </c>
      <c r="Y26" s="51">
        <f>M26-S26</f>
        <v/>
      </c>
      <c r="Z26" s="52" t="n">
        <v>9</v>
      </c>
      <c r="AA26" s="54">
        <f>X26+Y26+Z26</f>
        <v/>
      </c>
      <c r="AK26" s="57" t="n">
        <v>171215</v>
      </c>
      <c r="AL26" s="50" t="n">
        <v>173262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4744.091934401206</v>
      </c>
      <c r="C27" s="45" t="n">
        <v>4803.256706477158</v>
      </c>
      <c r="D27" s="95" t="n">
        <v>4805.193594434932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293159</v>
      </c>
      <c r="L27" s="50" t="n">
        <v>296774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151680</v>
      </c>
      <c r="R27" s="56" t="n">
        <v>153628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141479</v>
      </c>
      <c r="X27" s="50" t="n">
        <v>143002</v>
      </c>
      <c r="Y27" s="51">
        <f>M27-S27</f>
        <v/>
      </c>
      <c r="Z27" s="52" t="n">
        <v>60</v>
      </c>
      <c r="AA27" s="54">
        <f>X27+Y27+Z27</f>
        <v/>
      </c>
      <c r="AK27" s="57" t="n">
        <v>292993</v>
      </c>
      <c r="AL27" s="50" t="n">
        <v>296698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1530.946205975675</v>
      </c>
      <c r="C28" s="45" t="n">
        <v>1546.338676017546</v>
      </c>
      <c r="D28" s="95" t="n">
        <v>1546.358436225275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46793</v>
      </c>
      <c r="L28" s="50" t="n">
        <v>47416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28088</v>
      </c>
      <c r="R28" s="56" t="n">
        <v>28400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18705</v>
      </c>
      <c r="X28" s="50" t="n">
        <v>19016</v>
      </c>
      <c r="Y28" s="51">
        <f>M28-S28</f>
        <v/>
      </c>
      <c r="Z28" s="52" t="n">
        <v>6</v>
      </c>
      <c r="AA28" s="54">
        <f>X28+Y28+Z28</f>
        <v/>
      </c>
      <c r="AK28" s="57" t="n">
        <v>46761</v>
      </c>
      <c r="AL28" s="50" t="n">
        <v>47410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51.62297131840753</v>
      </c>
      <c r="C29" s="45" t="n">
        <v>52.4036839089114</v>
      </c>
      <c r="D29" s="95" t="n">
        <v>52.4036839089114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3535</v>
      </c>
      <c r="L29" s="50" t="n">
        <v>3579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1315</v>
      </c>
      <c r="R29" s="56" t="n">
        <v>1329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2220</v>
      </c>
      <c r="X29" s="50" t="n">
        <v>2252</v>
      </c>
      <c r="Y29" s="51">
        <f>M29-S29</f>
        <v/>
      </c>
      <c r="Z29" s="52" t="n">
        <v>1</v>
      </c>
      <c r="AA29" s="54">
        <f>X29+Y29+Z29</f>
        <v/>
      </c>
      <c r="AK29" s="57" t="n">
        <v>3529</v>
      </c>
      <c r="AL29" s="50" t="n">
        <v>3569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930.1238510804385</v>
      </c>
      <c r="C30" s="45" t="n">
        <v>944.080651438065</v>
      </c>
      <c r="D30" s="95" t="n">
        <v>944.3272581090145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87379</v>
      </c>
      <c r="L30" s="50" t="n">
        <v>88426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22477</v>
      </c>
      <c r="R30" s="56" t="n">
        <v>22758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64902</v>
      </c>
      <c r="X30" s="50" t="n">
        <v>65650</v>
      </c>
      <c r="Y30" s="51">
        <f>M30-S30</f>
        <v/>
      </c>
      <c r="Z30" s="52" t="n">
        <v>29</v>
      </c>
      <c r="AA30" s="54">
        <f>X30+Y30+Z30</f>
        <v/>
      </c>
      <c r="AK30" s="57" t="n">
        <v>87341</v>
      </c>
      <c r="AL30" s="50" t="n">
        <v>88513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1816.523838195033</v>
      </c>
      <c r="C31" s="45" t="n">
        <v>1840.092710113458</v>
      </c>
      <c r="D31" s="95" t="n">
        <v>1840.240842287055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175176</v>
      </c>
      <c r="L31" s="50" t="n">
        <v>177504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60372</v>
      </c>
      <c r="R31" s="56" t="n">
        <v>61113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114804</v>
      </c>
      <c r="X31" s="50" t="n">
        <v>116357</v>
      </c>
      <c r="Y31" s="51">
        <f>M31-S31</f>
        <v/>
      </c>
      <c r="Z31" s="52" t="n">
        <v>45</v>
      </c>
      <c r="AA31" s="54">
        <f>X31+Y31+Z31</f>
        <v/>
      </c>
      <c r="AK31" s="57" t="n">
        <v>175090</v>
      </c>
      <c r="AL31" s="50" t="n">
        <v>177674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9037.919260305043</v>
      </c>
      <c r="C32" s="45" t="n">
        <v>9131.121506226453</v>
      </c>
      <c r="D32" s="95" t="n">
        <v>9138.310898381842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355118</v>
      </c>
      <c r="L32" s="50" t="n">
        <v>359706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184720</v>
      </c>
      <c r="R32" s="56" t="n">
        <v>187229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170398</v>
      </c>
      <c r="X32" s="50" t="n">
        <v>172800</v>
      </c>
      <c r="Y32" s="51">
        <f>M32-S32</f>
        <v/>
      </c>
      <c r="Z32" s="52" t="n">
        <v>56</v>
      </c>
      <c r="AA32" s="54">
        <f>X32+Y32+Z32</f>
        <v/>
      </c>
      <c r="AK32" s="57" t="n">
        <v>354953</v>
      </c>
      <c r="AL32" s="50" t="n">
        <v>359813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2225.083343383665</v>
      </c>
      <c r="C33" s="45" t="n">
        <v>2252.848836955334</v>
      </c>
      <c r="D33" s="95" t="n">
        <v>2254.334785788706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107934</v>
      </c>
      <c r="L33" s="50" t="n">
        <v>109535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59414</v>
      </c>
      <c r="R33" s="56" t="n">
        <v>60193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48520</v>
      </c>
      <c r="X33" s="50" t="n">
        <v>49342</v>
      </c>
      <c r="Y33" s="51">
        <f>M33-S33</f>
        <v/>
      </c>
      <c r="Z33" s="52" t="n">
        <v>15</v>
      </c>
      <c r="AA33" s="54">
        <f>X33+Y33+Z33</f>
        <v/>
      </c>
      <c r="AK33" s="57" t="n">
        <v>107871</v>
      </c>
      <c r="AL33" s="50" t="n">
        <v>109469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5820137.990541538</v>
      </c>
      <c r="C34" s="64" t="n">
        <v>6070311.907479533</v>
      </c>
      <c r="D34" s="97" t="n">
        <v>6085648.5713554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53537730</v>
      </c>
      <c r="L34" s="70" t="n">
        <v>54560602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2942991</v>
      </c>
      <c r="R34" s="72" t="n">
        <v>2980324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3965268</v>
      </c>
      <c r="X34" s="70" t="n">
        <v>4018231</v>
      </c>
      <c r="Y34" s="70" t="n">
        <v>240028</v>
      </c>
      <c r="Z34" s="70" t="n">
        <v>1244</v>
      </c>
      <c r="AA34" s="73">
        <f>X34+Y34+Z34</f>
        <v/>
      </c>
      <c r="AB34" s="74" t="n">
        <v>46629471</v>
      </c>
      <c r="AC34" s="75" t="n">
        <v>47561359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6904366</v>
      </c>
      <c r="AL34" s="70" t="n">
        <v>6995165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>
        <v>470.2658364435624</v>
      </c>
      <c r="D35" s="100" t="n">
        <v>0</v>
      </c>
      <c r="E35" s="79" t="n"/>
      <c r="F35" s="81" t="n">
        <v>1</v>
      </c>
      <c r="G35" s="82" t="n"/>
      <c r="H35" s="82" t="n"/>
      <c r="I35" s="77" t="n"/>
      <c r="J35" s="77" t="n"/>
      <c r="K35" s="83" t="n"/>
      <c r="L35" s="84" t="n">
        <v>25287</v>
      </c>
      <c r="M35" s="84" t="n">
        <v>1198</v>
      </c>
      <c r="N35" s="84" t="n"/>
      <c r="O35" s="84" t="n">
        <v>198</v>
      </c>
      <c r="P35" s="84" t="n">
        <v>26683</v>
      </c>
      <c r="Q35" s="83" t="n"/>
      <c r="R35" s="84" t="n">
        <v>11235</v>
      </c>
      <c r="S35" s="84" t="n">
        <v>415</v>
      </c>
      <c r="T35" s="84" t="n"/>
      <c r="U35" s="84" t="n">
        <v>198</v>
      </c>
      <c r="V35" s="84" t="n">
        <v>11848</v>
      </c>
      <c r="W35" s="83" t="n"/>
      <c r="X35" s="84" t="n">
        <v>14052</v>
      </c>
      <c r="Y35" s="84" t="n">
        <v>783</v>
      </c>
      <c r="Z35" s="84" t="n"/>
      <c r="AA35" s="85" t="n">
        <v>14835</v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>
        <v>25273</v>
      </c>
      <c r="AM35" s="84" t="n">
        <v>1198</v>
      </c>
      <c r="AN35" s="84" t="n"/>
      <c r="AO35" s="84" t="n">
        <v>198</v>
      </c>
      <c r="AP35" s="85" t="n">
        <v>26669</v>
      </c>
    </row>
    <row r="36">
      <c r="A36" s="77" t="inlineStr">
        <is>
          <t>厦门202209-当月</t>
        </is>
      </c>
      <c r="B36" s="99" t="n"/>
      <c r="C36" s="79" t="n">
        <v>893.2333921490965</v>
      </c>
      <c r="D36" s="100" t="n">
        <v>0</v>
      </c>
      <c r="E36" s="79" t="n"/>
      <c r="F36" s="81" t="n">
        <v>1</v>
      </c>
      <c r="G36" s="82" t="n"/>
      <c r="H36" s="82" t="n"/>
      <c r="I36" s="77" t="n"/>
      <c r="J36" s="77" t="n"/>
      <c r="K36" s="83" t="n"/>
      <c r="L36" s="84" t="n">
        <v>60341</v>
      </c>
      <c r="M36" s="84" t="n">
        <v>2862</v>
      </c>
      <c r="N36" s="84" t="n"/>
      <c r="O36" s="84" t="n">
        <v>781</v>
      </c>
      <c r="P36" s="84" t="n">
        <v>63984</v>
      </c>
      <c r="Q36" s="83" t="n"/>
      <c r="R36" s="84" t="n">
        <v>36892</v>
      </c>
      <c r="S36" s="84" t="n">
        <v>1767</v>
      </c>
      <c r="T36" s="84" t="n"/>
      <c r="U36" s="84" t="n">
        <v>781</v>
      </c>
      <c r="V36" s="84" t="n">
        <v>39440</v>
      </c>
      <c r="W36" s="83" t="n"/>
      <c r="X36" s="84" t="n">
        <v>23449</v>
      </c>
      <c r="Y36" s="84" t="n">
        <v>1095</v>
      </c>
      <c r="Z36" s="84" t="n"/>
      <c r="AA36" s="85" t="n">
        <v>24544</v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>
        <v>60315</v>
      </c>
      <c r="AM36" s="84" t="n">
        <v>2862</v>
      </c>
      <c r="AN36" s="84" t="n"/>
      <c r="AO36" s="84" t="n">
        <v>781</v>
      </c>
      <c r="AP36" s="85" t="n">
        <v>63958</v>
      </c>
    </row>
    <row r="37">
      <c r="A37" s="77" t="inlineStr">
        <is>
          <t>青岛</t>
        </is>
      </c>
      <c r="B37" s="99" t="n"/>
      <c r="C37" s="79" t="n">
        <v>618.8361447741083</v>
      </c>
      <c r="D37" s="100" t="n">
        <v>0</v>
      </c>
      <c r="E37" s="79" t="n"/>
      <c r="F37" s="81" t="n">
        <v>1</v>
      </c>
      <c r="G37" s="82" t="n"/>
      <c r="H37" s="82" t="n"/>
      <c r="I37" s="77" t="n"/>
      <c r="J37" s="77" t="n"/>
      <c r="K37" s="83" t="n"/>
      <c r="L37" s="84" t="n">
        <v>58127</v>
      </c>
      <c r="M37" s="84" t="n">
        <v>2555</v>
      </c>
      <c r="N37" s="84" t="n"/>
      <c r="O37" s="84" t="n">
        <v>501</v>
      </c>
      <c r="P37" s="84" t="n">
        <v>61183</v>
      </c>
      <c r="Q37" s="83" t="n"/>
      <c r="R37" s="84" t="n">
        <v>30818</v>
      </c>
      <c r="S37" s="84" t="n">
        <v>1115</v>
      </c>
      <c r="T37" s="84" t="n"/>
      <c r="U37" s="84" t="n">
        <v>501</v>
      </c>
      <c r="V37" s="84" t="n">
        <v>32434</v>
      </c>
      <c r="W37" s="83" t="n"/>
      <c r="X37" s="84" t="n">
        <v>27309</v>
      </c>
      <c r="Y37" s="84" t="n">
        <v>1440</v>
      </c>
      <c r="Z37" s="84" t="n"/>
      <c r="AA37" s="85" t="n">
        <v>28749</v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>
        <v>58108</v>
      </c>
      <c r="AM37" s="84" t="n">
        <v>2555</v>
      </c>
      <c r="AN37" s="84" t="n"/>
      <c r="AO37" s="84" t="n">
        <v>501</v>
      </c>
      <c r="AP37" s="85" t="n">
        <v>61164</v>
      </c>
    </row>
    <row r="38" ht="17" customHeight="1" s="93" thickBot="1">
      <c r="A38" s="77" t="inlineStr">
        <is>
          <t>宁波</t>
        </is>
      </c>
      <c r="B38" s="99" t="n"/>
      <c r="C38" s="79" t="n">
        <v>397.0666483819175</v>
      </c>
      <c r="D38" s="100" t="n">
        <v>0</v>
      </c>
      <c r="E38" s="79" t="n"/>
      <c r="F38" s="81" t="n">
        <v>1</v>
      </c>
      <c r="G38" s="82" t="n"/>
      <c r="H38" s="82" t="n"/>
      <c r="I38" s="77" t="n"/>
      <c r="J38" s="77" t="n"/>
      <c r="K38" s="86" t="n"/>
      <c r="L38" s="87" t="n">
        <v>37021</v>
      </c>
      <c r="M38" s="87" t="n">
        <v>1345</v>
      </c>
      <c r="N38" s="87" t="n"/>
      <c r="O38" s="87" t="n">
        <v>301</v>
      </c>
      <c r="P38" s="87" t="n">
        <v>38667</v>
      </c>
      <c r="Q38" s="86" t="n"/>
      <c r="R38" s="87" t="n">
        <v>20120</v>
      </c>
      <c r="S38" s="87" t="n">
        <v>644</v>
      </c>
      <c r="T38" s="87" t="n"/>
      <c r="U38" s="87" t="n">
        <v>301</v>
      </c>
      <c r="V38" s="87" t="n">
        <v>21065</v>
      </c>
      <c r="W38" s="86" t="n"/>
      <c r="X38" s="87" t="n">
        <v>16901</v>
      </c>
      <c r="Y38" s="87" t="n">
        <v>701</v>
      </c>
      <c r="Z38" s="87" t="n"/>
      <c r="AA38" s="88" t="n">
        <v>17602</v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>
        <v>37007</v>
      </c>
      <c r="AM38" s="87" t="n">
        <v>1345</v>
      </c>
      <c r="AN38" s="87" t="n"/>
      <c r="AO38" s="87" t="n">
        <v>301</v>
      </c>
      <c r="AP38" s="88" t="n">
        <v>38653</v>
      </c>
    </row>
    <row r="39" ht="53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39017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B13" sqref="B13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/>
      <c r="AH2" s="24" t="n"/>
      <c r="AI2" s="41" t="n"/>
      <c r="AJ2" s="42" t="n"/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2313.056524271424</v>
      </c>
      <c r="C3" s="45" t="n">
        <v>2340.255219329598</v>
      </c>
      <c r="D3" s="95" t="n">
        <v>2340.06075656452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175859</v>
      </c>
      <c r="L3" s="50" t="n">
        <v>177960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80746</v>
      </c>
      <c r="R3" s="56" t="n">
        <v>81732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95113</v>
      </c>
      <c r="X3" s="50" t="n">
        <v>96228</v>
      </c>
      <c r="Y3" s="51">
        <f>M3-S3</f>
        <v/>
      </c>
      <c r="Z3" s="52" t="n">
        <v>36</v>
      </c>
      <c r="AA3" s="54">
        <f>X3+Y3+Z3</f>
        <v/>
      </c>
      <c r="AK3" s="57" t="n">
        <v>175781</v>
      </c>
      <c r="AL3" s="50" t="n">
        <v>177882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111120.5459764932</v>
      </c>
      <c r="C4" s="45" t="n">
        <v>113541.7340347608</v>
      </c>
      <c r="D4" s="95" t="n">
        <v>113334.0525643731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189125</v>
      </c>
      <c r="L4" s="50" t="n">
        <v>191386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180580</v>
      </c>
      <c r="R4" s="56" t="n">
        <v>182720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8545</v>
      </c>
      <c r="X4" s="50" t="n">
        <v>8666</v>
      </c>
      <c r="Y4" s="51">
        <f>M4-S4</f>
        <v/>
      </c>
      <c r="Z4" s="52" t="n">
        <v>6</v>
      </c>
      <c r="AA4" s="54">
        <f>X4+Y4+Z4</f>
        <v/>
      </c>
      <c r="AK4" s="57" t="n">
        <v>188759</v>
      </c>
      <c r="AL4" s="50" t="n">
        <v>191018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3099.684780183404</v>
      </c>
      <c r="C5" s="45" t="n">
        <v>3140.219882787038</v>
      </c>
      <c r="D5" s="95" t="n">
        <v>3138.054108892989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350190</v>
      </c>
      <c r="L5" s="50" t="n">
        <v>353907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106063</v>
      </c>
      <c r="R5" s="56" t="n">
        <v>107279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244127</v>
      </c>
      <c r="X5" s="50" t="n">
        <v>246628</v>
      </c>
      <c r="Y5" s="51">
        <f>M5-S5</f>
        <v/>
      </c>
      <c r="Z5" s="52" t="n">
        <v>38</v>
      </c>
      <c r="AA5" s="54">
        <f>X5+Y5+Z5</f>
        <v/>
      </c>
      <c r="AK5" s="57" t="n">
        <v>350071</v>
      </c>
      <c r="AL5" s="50" t="n">
        <v>353783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508.6594665719515</v>
      </c>
      <c r="C6" s="45" t="n">
        <v>516.239901112217</v>
      </c>
      <c r="D6" s="95" t="n">
        <v>516.1250429613901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58021</v>
      </c>
      <c r="L6" s="56" t="n">
        <v>58610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22580</v>
      </c>
      <c r="R6" s="56" t="n">
        <v>22837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35441</v>
      </c>
      <c r="X6" s="50" t="n">
        <v>35773</v>
      </c>
      <c r="Y6" s="51">
        <f>M6-S6</f>
        <v/>
      </c>
      <c r="Z6" s="52" t="n">
        <v>4</v>
      </c>
      <c r="AA6" s="54">
        <f>X6+Y6+Z6</f>
        <v/>
      </c>
      <c r="AK6" s="61" t="n">
        <v>58004</v>
      </c>
      <c r="AL6" s="56" t="n">
        <v>58590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15503.15889118116</v>
      </c>
      <c r="C7" s="45" t="n">
        <v>15740.70302640792</v>
      </c>
      <c r="D7" s="95" t="n">
        <v>15717.49429624195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837096</v>
      </c>
      <c r="L7" s="50" t="n">
        <v>851673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438831</v>
      </c>
      <c r="R7" s="56" t="n">
        <v>444855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398265</v>
      </c>
      <c r="X7" s="50" t="n">
        <v>406818</v>
      </c>
      <c r="Y7" s="51">
        <f>M7-S7</f>
        <v/>
      </c>
      <c r="Z7" s="52" t="n">
        <v>96</v>
      </c>
      <c r="AA7" s="54">
        <f>X7+Y7+Z7</f>
        <v/>
      </c>
      <c r="AK7" s="57" t="n">
        <v>836642</v>
      </c>
      <c r="AL7" s="50" t="n">
        <v>851200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1819.347219225286</v>
      </c>
      <c r="C8" s="45" t="n">
        <v>1841.535012269359</v>
      </c>
      <c r="D8" s="95" t="n">
        <v>1839.320921628021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142663</v>
      </c>
      <c r="L8" s="50" t="n">
        <v>144546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58355</v>
      </c>
      <c r="R8" s="56" t="n">
        <v>59140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84308</v>
      </c>
      <c r="X8" s="50" t="n">
        <v>85406</v>
      </c>
      <c r="Y8" s="51">
        <f>M8-S8</f>
        <v/>
      </c>
      <c r="Z8" s="52" t="n">
        <v>23</v>
      </c>
      <c r="AA8" s="54">
        <f>X8+Y8+Z8</f>
        <v/>
      </c>
      <c r="AK8" s="57" t="n">
        <v>142596</v>
      </c>
      <c r="AL8" s="50" t="n">
        <v>144469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2709.420917651694</v>
      </c>
      <c r="C9" s="45" t="n">
        <v>2722.276854667557</v>
      </c>
      <c r="D9" s="95" t="n">
        <v>2721.667321989642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98794</v>
      </c>
      <c r="L9" s="50" t="n">
        <v>100340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43673</v>
      </c>
      <c r="R9" s="56" t="n">
        <v>44263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55121</v>
      </c>
      <c r="X9" s="50" t="n">
        <v>56077</v>
      </c>
      <c r="Y9" s="51">
        <f>M9-S9</f>
        <v/>
      </c>
      <c r="Z9" s="52" t="n">
        <v>27</v>
      </c>
      <c r="AA9" s="54">
        <f>X9+Y9+Z9</f>
        <v/>
      </c>
      <c r="AK9" s="57" t="n">
        <v>98754</v>
      </c>
      <c r="AL9" s="50" t="n">
        <v>100299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3040.662808877881</v>
      </c>
      <c r="C10" s="45" t="n">
        <v>3064.890305367007</v>
      </c>
      <c r="D10" s="95" t="n">
        <v>3066.059536073382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233230</v>
      </c>
      <c r="L10" s="50" t="n">
        <v>235671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41095</v>
      </c>
      <c r="R10" s="56" t="n">
        <v>41705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192135</v>
      </c>
      <c r="X10" s="50" t="n">
        <v>193966</v>
      </c>
      <c r="Y10" s="51">
        <f>M10-S10</f>
        <v/>
      </c>
      <c r="Z10" s="52" t="n">
        <v>44</v>
      </c>
      <c r="AA10" s="54">
        <f>X10+Y10+Z10</f>
        <v/>
      </c>
      <c r="AK10" s="57" t="n">
        <v>233207</v>
      </c>
      <c r="AL10" s="50" t="n">
        <v>235648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1803.55059526102</v>
      </c>
      <c r="C11" s="45" t="n">
        <v>1831.495869356981</v>
      </c>
      <c r="D11" s="95" t="n">
        <v>1831.608748981899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209034</v>
      </c>
      <c r="L11" s="50" t="n">
        <v>211903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77645</v>
      </c>
      <c r="R11" s="56" t="n">
        <v>78646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131389</v>
      </c>
      <c r="X11" s="50" t="n">
        <v>133257</v>
      </c>
      <c r="Y11" s="51">
        <f>M11-S11</f>
        <v/>
      </c>
      <c r="Z11" s="52" t="n">
        <v>53</v>
      </c>
      <c r="AA11" s="54">
        <f>X11+Y11+Z11</f>
        <v/>
      </c>
      <c r="AK11" s="57" t="n">
        <v>208954</v>
      </c>
      <c r="AL11" s="50" t="n">
        <v>211816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3269.860667175908</v>
      </c>
      <c r="C12" s="45" t="n">
        <v>3335.558314409642</v>
      </c>
      <c r="D12" s="95" t="n">
        <v>3317.616811968096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322210</v>
      </c>
      <c r="L12" s="50" t="n">
        <v>327395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124829</v>
      </c>
      <c r="R12" s="56" t="n">
        <v>126795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197381</v>
      </c>
      <c r="X12" s="50" t="n">
        <v>200600</v>
      </c>
      <c r="Y12" s="51">
        <f>M12-S12</f>
        <v/>
      </c>
      <c r="Z12" s="52" t="n">
        <v>64</v>
      </c>
      <c r="AA12" s="54">
        <f>X12+Y12+Z12</f>
        <v/>
      </c>
      <c r="AK12" s="57" t="n">
        <v>322064</v>
      </c>
      <c r="AL12" s="50" t="n">
        <v>327233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934.1933479348911</v>
      </c>
      <c r="C13" s="45" t="n">
        <v>947.1211584316377</v>
      </c>
      <c r="D13" s="95" t="n">
        <v>945.9552286759183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81866</v>
      </c>
      <c r="L13" s="50" t="n">
        <v>82842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22776</v>
      </c>
      <c r="R13" s="56" t="n">
        <v>23047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59090</v>
      </c>
      <c r="X13" s="50" t="n">
        <v>59795</v>
      </c>
      <c r="Y13" s="51">
        <f>M13-S13</f>
        <v/>
      </c>
      <c r="Z13" s="52" t="n">
        <v>36</v>
      </c>
      <c r="AA13" s="54">
        <f>X13+Y13+Z13</f>
        <v/>
      </c>
      <c r="AK13" s="57" t="n">
        <v>81832</v>
      </c>
      <c r="AL13" s="50" t="n">
        <v>82801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3968.11093611915</v>
      </c>
      <c r="C14" s="45" t="n">
        <v>4015.011143162104</v>
      </c>
      <c r="D14" s="95" t="n">
        <v>4015.237076280993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275073</v>
      </c>
      <c r="L14" s="50" t="n">
        <v>279940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96447</v>
      </c>
      <c r="R14" s="56" t="n">
        <v>97922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178626</v>
      </c>
      <c r="X14" s="50" t="n">
        <v>182018</v>
      </c>
      <c r="Y14" s="51">
        <f>M14-S14</f>
        <v/>
      </c>
      <c r="Z14" s="52" t="n">
        <v>50</v>
      </c>
      <c r="AA14" s="54">
        <f>X14+Y14+Z14</f>
        <v/>
      </c>
      <c r="AK14" s="57" t="n">
        <v>274957</v>
      </c>
      <c r="AL14" s="50" t="n">
        <v>279819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3115.235672971511</v>
      </c>
      <c r="C15" s="45" t="n">
        <v>3163.738540786717</v>
      </c>
      <c r="D15" s="95" t="n">
        <v>3167.840530741346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266846</v>
      </c>
      <c r="L15" s="50" t="n">
        <v>271799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88583</v>
      </c>
      <c r="R15" s="56" t="n">
        <v>89744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178263</v>
      </c>
      <c r="X15" s="50" t="n">
        <v>182055</v>
      </c>
      <c r="Y15" s="51">
        <f>M15-S15</f>
        <v/>
      </c>
      <c r="Z15" s="52" t="n">
        <v>53</v>
      </c>
      <c r="AA15" s="54">
        <f>X15+Y15+Z15</f>
        <v/>
      </c>
      <c r="AK15" s="57" t="n">
        <v>266726</v>
      </c>
      <c r="AL15" s="50" t="n">
        <v>271672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547.6654631375577</v>
      </c>
      <c r="C16" s="45" t="n">
        <v>559.9704832858788</v>
      </c>
      <c r="D16" s="95" t="n">
        <v>556.9681897273972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74679</v>
      </c>
      <c r="L16" s="50" t="n">
        <v>75778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21224</v>
      </c>
      <c r="R16" s="56" t="n">
        <v>21542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53455</v>
      </c>
      <c r="X16" s="50" t="n">
        <v>54236</v>
      </c>
      <c r="Y16" s="51">
        <f>M16-S16</f>
        <v/>
      </c>
      <c r="Z16" s="52" t="n">
        <v>11</v>
      </c>
      <c r="AA16" s="54">
        <f>X16+Y16+Z16</f>
        <v/>
      </c>
      <c r="AK16" s="57" t="n">
        <v>74657</v>
      </c>
      <c r="AL16" s="50" t="n">
        <v>75752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5089.920722525511</v>
      </c>
      <c r="C17" s="45" t="n">
        <v>5156.066826425629</v>
      </c>
      <c r="D17" s="95" t="n">
        <v>5154.373293052575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319902</v>
      </c>
      <c r="L17" s="50" t="n">
        <v>323729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158972</v>
      </c>
      <c r="R17" s="56" t="n">
        <v>160870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160930</v>
      </c>
      <c r="X17" s="50" t="n">
        <v>162859</v>
      </c>
      <c r="Y17" s="51">
        <f>M17-S17</f>
        <v/>
      </c>
      <c r="Z17" s="52" t="n">
        <v>147</v>
      </c>
      <c r="AA17" s="54">
        <f>X17+Y17+Z17</f>
        <v/>
      </c>
      <c r="AK17" s="57" t="n">
        <v>319765</v>
      </c>
      <c r="AL17" s="50" t="n">
        <v>323584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1683.510078008351</v>
      </c>
      <c r="C18" s="45" t="n">
        <v>1698.69561921818</v>
      </c>
      <c r="D18" s="95" t="n">
        <v>1701.436616857873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287403</v>
      </c>
      <c r="L18" s="50" t="n">
        <v>289027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39772</v>
      </c>
      <c r="R18" s="56" t="n">
        <v>40347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247631</v>
      </c>
      <c r="X18" s="50" t="n">
        <v>248680</v>
      </c>
      <c r="Y18" s="51">
        <f>M18-S18</f>
        <v/>
      </c>
      <c r="Z18" s="52" t="n">
        <v>28</v>
      </c>
      <c r="AA18" s="54">
        <f>X18+Y18+Z18</f>
        <v/>
      </c>
      <c r="AK18" s="57" t="n">
        <v>287290</v>
      </c>
      <c r="AL18" s="50" t="n">
        <v>288909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1704.446167275533</v>
      </c>
      <c r="C19" s="45" t="n">
        <v>1728.321706582205</v>
      </c>
      <c r="D19" s="95" t="n">
        <v>1727.188328318068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132709</v>
      </c>
      <c r="L19" s="50" t="n">
        <v>135051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45107</v>
      </c>
      <c r="R19" s="56" t="n">
        <v>45807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87602</v>
      </c>
      <c r="X19" s="50" t="n">
        <v>89244</v>
      </c>
      <c r="Y19" s="51">
        <f>M19-S19</f>
        <v/>
      </c>
      <c r="Z19" s="52" t="n">
        <v>60</v>
      </c>
      <c r="AA19" s="54">
        <f>X19+Y19+Z19</f>
        <v/>
      </c>
      <c r="AK19" s="57" t="n">
        <v>132635</v>
      </c>
      <c r="AL19" s="50" t="n">
        <v>134970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680.5818797643319</v>
      </c>
      <c r="C20" s="45" t="n">
        <v>692.9377839760051</v>
      </c>
      <c r="D20" s="95" t="n">
        <v>691.5020201479546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79718</v>
      </c>
      <c r="L20" s="50" t="n">
        <v>82015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23650</v>
      </c>
      <c r="R20" s="56" t="n">
        <v>23963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56068</v>
      </c>
      <c r="X20" s="50" t="n">
        <v>58052</v>
      </c>
      <c r="Y20" s="51">
        <f>M20-S20</f>
        <v/>
      </c>
      <c r="Z20" s="52" t="n">
        <v>24</v>
      </c>
      <c r="AA20" s="54">
        <f>X20+Y20+Z20</f>
        <v/>
      </c>
      <c r="AK20" s="57" t="n">
        <v>79665</v>
      </c>
      <c r="AL20" s="50" t="n">
        <v>81960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244.3713090674609</v>
      </c>
      <c r="C21" s="45" t="n">
        <v>248.2121800987668</v>
      </c>
      <c r="D21" s="95" t="n">
        <v>247.7108642784389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23343</v>
      </c>
      <c r="L21" s="56" t="n">
        <v>23656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9689</v>
      </c>
      <c r="R21" s="56" t="n">
        <v>9806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13654</v>
      </c>
      <c r="X21" s="50" t="n">
        <v>13850</v>
      </c>
      <c r="Y21" s="51">
        <f>M21-S21</f>
        <v/>
      </c>
      <c r="Z21" s="52" t="n">
        <v>25</v>
      </c>
      <c r="AA21" s="54">
        <f>X21+Y21+Z21</f>
        <v/>
      </c>
      <c r="AK21" s="61" t="n">
        <v>23330</v>
      </c>
      <c r="AL21" s="56" t="n">
        <v>23641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133.5407526698304</v>
      </c>
      <c r="C22" s="45" t="n">
        <v>135.7918965036275</v>
      </c>
      <c r="D22" s="95" t="n">
        <v>135.6416806576801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11595</v>
      </c>
      <c r="L22" s="50" t="n">
        <v>11747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4470</v>
      </c>
      <c r="R22" s="56" t="n">
        <v>4514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7125</v>
      </c>
      <c r="X22" s="50" t="n">
        <v>7233</v>
      </c>
      <c r="Y22" s="51">
        <f>M22-S22</f>
        <v/>
      </c>
      <c r="Z22" s="52" t="n">
        <v>6</v>
      </c>
      <c r="AA22" s="54">
        <f>X22+Y22+Z22</f>
        <v/>
      </c>
      <c r="AK22" s="57" t="n">
        <v>11578</v>
      </c>
      <c r="AL22" s="50" t="n">
        <v>11729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3799.899646442403</v>
      </c>
      <c r="C23" s="45" t="n">
        <v>3860.438672402298</v>
      </c>
      <c r="D23" s="95" t="n">
        <v>3854.550714038909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411445</v>
      </c>
      <c r="L23" s="50" t="n">
        <v>416242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170059</v>
      </c>
      <c r="R23" s="56" t="n">
        <v>172189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241386</v>
      </c>
      <c r="X23" s="50" t="n">
        <v>244053</v>
      </c>
      <c r="Y23" s="51">
        <f>M23-S23</f>
        <v/>
      </c>
      <c r="Z23" s="52" t="n">
        <v>55</v>
      </c>
      <c r="AA23" s="54">
        <f>X23+Y23+Z23</f>
        <v/>
      </c>
      <c r="AK23" s="57" t="n">
        <v>411333</v>
      </c>
      <c r="AL23" s="50" t="n">
        <v>416109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917.3388721656564</v>
      </c>
      <c r="C24" s="45" t="n">
        <v>931.6293638555816</v>
      </c>
      <c r="D24" s="95" t="n">
        <v>931.1005947966481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100306</v>
      </c>
      <c r="L24" s="50" t="n">
        <v>101856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38943</v>
      </c>
      <c r="R24" s="56" t="n">
        <v>39451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61363</v>
      </c>
      <c r="X24" s="50" t="n">
        <v>62405</v>
      </c>
      <c r="Y24" s="51">
        <f>M24-S24</f>
        <v/>
      </c>
      <c r="Z24" s="52" t="n">
        <v>19</v>
      </c>
      <c r="AA24" s="54">
        <f>X24+Y24+Z24</f>
        <v/>
      </c>
      <c r="AK24" s="57" t="n">
        <v>100265</v>
      </c>
      <c r="AL24" s="50" t="n">
        <v>101809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1168.122834147011</v>
      </c>
      <c r="C25" s="45" t="n">
        <v>1188.302099948036</v>
      </c>
      <c r="D25" s="95" t="n">
        <v>1184.996506906348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150599</v>
      </c>
      <c r="L25" s="50" t="n">
        <v>151963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41277</v>
      </c>
      <c r="R25" s="56" t="n">
        <v>41898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109322</v>
      </c>
      <c r="X25" s="50" t="n">
        <v>110065</v>
      </c>
      <c r="Y25" s="51">
        <f>M25-S25</f>
        <v/>
      </c>
      <c r="Z25" s="52" t="n">
        <v>20</v>
      </c>
      <c r="AA25" s="54">
        <f>X25+Y25+Z25</f>
        <v/>
      </c>
      <c r="AK25" s="57" t="n">
        <v>150564</v>
      </c>
      <c r="AL25" s="50" t="n">
        <v>151923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9962.333467861123</v>
      </c>
      <c r="C26" s="45" t="n">
        <v>10103.02659837152</v>
      </c>
      <c r="D26" s="95" t="n">
        <v>10105.9257483221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169448</v>
      </c>
      <c r="L26" s="50" t="n">
        <v>171389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155637</v>
      </c>
      <c r="R26" s="56" t="n">
        <v>157418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13811</v>
      </c>
      <c r="X26" s="50" t="n">
        <v>13971</v>
      </c>
      <c r="Y26" s="51">
        <f>M26-S26</f>
        <v/>
      </c>
      <c r="Z26" s="52" t="n">
        <v>9</v>
      </c>
      <c r="AA26" s="54">
        <f>X26+Y26+Z26</f>
        <v/>
      </c>
      <c r="AK26" s="57" t="n">
        <v>169273</v>
      </c>
      <c r="AL26" s="50" t="n">
        <v>171215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4682.99027436748</v>
      </c>
      <c r="C27" s="45" t="n">
        <v>4744.091934401206</v>
      </c>
      <c r="D27" s="95" t="n">
        <v>4741.866069814813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289448</v>
      </c>
      <c r="L27" s="50" t="n">
        <v>293159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149732</v>
      </c>
      <c r="R27" s="56" t="n">
        <v>151680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139716</v>
      </c>
      <c r="X27" s="50" t="n">
        <v>141479</v>
      </c>
      <c r="Y27" s="51">
        <f>M27-S27</f>
        <v/>
      </c>
      <c r="Z27" s="52" t="n">
        <v>60</v>
      </c>
      <c r="AA27" s="54">
        <f>X27+Y27+Z27</f>
        <v/>
      </c>
      <c r="AK27" s="57" t="n">
        <v>289288</v>
      </c>
      <c r="AL27" s="50" t="n">
        <v>292993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1515.533975726076</v>
      </c>
      <c r="C28" s="45" t="n">
        <v>1530.946205975675</v>
      </c>
      <c r="D28" s="95" t="n">
        <v>1530.926445767946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46143</v>
      </c>
      <c r="L28" s="50" t="n">
        <v>46793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27754</v>
      </c>
      <c r="R28" s="56" t="n">
        <v>28088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18389</v>
      </c>
      <c r="X28" s="50" t="n">
        <v>18705</v>
      </c>
      <c r="Y28" s="51">
        <f>M28-S28</f>
        <v/>
      </c>
      <c r="Z28" s="52" t="n">
        <v>6</v>
      </c>
      <c r="AA28" s="54">
        <f>X28+Y28+Z28</f>
        <v/>
      </c>
      <c r="AK28" s="57" t="n">
        <v>46112</v>
      </c>
      <c r="AL28" s="50" t="n">
        <v>46761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50.84225872790366</v>
      </c>
      <c r="C29" s="45" t="n">
        <v>51.62297131840753</v>
      </c>
      <c r="D29" s="95" t="n">
        <v>51.59080607121381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3495</v>
      </c>
      <c r="L29" s="50" t="n">
        <v>3535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1299</v>
      </c>
      <c r="R29" s="56" t="n">
        <v>1315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2196</v>
      </c>
      <c r="X29" s="50" t="n">
        <v>2220</v>
      </c>
      <c r="Y29" s="51">
        <f>M29-S29</f>
        <v/>
      </c>
      <c r="Z29" s="52" t="n">
        <v>1</v>
      </c>
      <c r="AA29" s="54">
        <f>X29+Y29+Z29</f>
        <v/>
      </c>
      <c r="AK29" s="57" t="n">
        <v>3489</v>
      </c>
      <c r="AL29" s="50" t="n">
        <v>3529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915.9204440518625</v>
      </c>
      <c r="C30" s="45" t="n">
        <v>930.1238510804385</v>
      </c>
      <c r="D30" s="95" t="n">
        <v>929.8772444094891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86203</v>
      </c>
      <c r="L30" s="50" t="n">
        <v>87379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22196</v>
      </c>
      <c r="R30" s="56" t="n">
        <v>22477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64007</v>
      </c>
      <c r="X30" s="50" t="n">
        <v>64902</v>
      </c>
      <c r="Y30" s="51">
        <f>M30-S30</f>
        <v/>
      </c>
      <c r="Z30" s="52" t="n">
        <v>29</v>
      </c>
      <c r="AA30" s="54">
        <f>X30+Y30+Z30</f>
        <v/>
      </c>
      <c r="AK30" s="57" t="n">
        <v>86169</v>
      </c>
      <c r="AL30" s="50" t="n">
        <v>87341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1792.80683410301</v>
      </c>
      <c r="C31" s="45" t="n">
        <v>1816.523838195033</v>
      </c>
      <c r="D31" s="95" t="n">
        <v>1814.903005686915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172582</v>
      </c>
      <c r="L31" s="50" t="n">
        <v>175176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59631</v>
      </c>
      <c r="R31" s="56" t="n">
        <v>60372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112951</v>
      </c>
      <c r="X31" s="50" t="n">
        <v>114804</v>
      </c>
      <c r="Y31" s="51">
        <f>M31-S31</f>
        <v/>
      </c>
      <c r="Z31" s="52" t="n">
        <v>45</v>
      </c>
      <c r="AA31" s="54">
        <f>X31+Y31+Z31</f>
        <v/>
      </c>
      <c r="AK31" s="57" t="n">
        <v>172506</v>
      </c>
      <c r="AL31" s="50" t="n">
        <v>175090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8937.527622228245</v>
      </c>
      <c r="C32" s="45" t="n">
        <v>9037.919260305043</v>
      </c>
      <c r="D32" s="95" t="n">
        <v>9029.269848932749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350530</v>
      </c>
      <c r="L32" s="50" t="n">
        <v>355118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182205</v>
      </c>
      <c r="R32" s="56" t="n">
        <v>184720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168325</v>
      </c>
      <c r="X32" s="50" t="n">
        <v>170398</v>
      </c>
      <c r="Y32" s="51">
        <f>M32-S32</f>
        <v/>
      </c>
      <c r="Z32" s="52" t="n">
        <v>56</v>
      </c>
      <c r="AA32" s="54">
        <f>X32+Y32+Z32</f>
        <v/>
      </c>
      <c r="AK32" s="57" t="n">
        <v>350373</v>
      </c>
      <c r="AL32" s="50" t="n">
        <v>354953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2195.831900978623</v>
      </c>
      <c r="C33" s="45" t="n">
        <v>2225.083343383665</v>
      </c>
      <c r="D33" s="95" t="n">
        <v>2223.597394550292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106333</v>
      </c>
      <c r="L33" s="50" t="n">
        <v>107934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58635</v>
      </c>
      <c r="R33" s="56" t="n">
        <v>59414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47698</v>
      </c>
      <c r="X33" s="50" t="n">
        <v>48520</v>
      </c>
      <c r="Y33" s="51">
        <f>M33-S33</f>
        <v/>
      </c>
      <c r="Z33" s="52" t="n">
        <v>15</v>
      </c>
      <c r="AA33" s="54">
        <f>X33+Y33+Z33</f>
        <v/>
      </c>
      <c r="AK33" s="57" t="n">
        <v>106273</v>
      </c>
      <c r="AL33" s="50" t="n">
        <v>107871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5554627.409727677</v>
      </c>
      <c r="C34" s="64" t="n">
        <v>5820137.990541538</v>
      </c>
      <c r="D34" s="97" t="n">
        <v>5799621.79003393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52514858</v>
      </c>
      <c r="L34" s="70" t="n">
        <v>53537730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2905658</v>
      </c>
      <c r="R34" s="72" t="n">
        <v>2942991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3911617</v>
      </c>
      <c r="X34" s="70" t="n">
        <v>3965268</v>
      </c>
      <c r="Y34" s="70" t="n">
        <v>240028</v>
      </c>
      <c r="Z34" s="70" t="n">
        <v>1244</v>
      </c>
      <c r="AA34" s="73">
        <f>X34+Y34+Z34</f>
        <v/>
      </c>
      <c r="AB34" s="74" t="n">
        <v>45697583</v>
      </c>
      <c r="AC34" s="75" t="n">
        <v>46629471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6813567</v>
      </c>
      <c r="AL34" s="70" t="n">
        <v>6904366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>
        <v>470.2658364435624</v>
      </c>
      <c r="D35" s="100" t="n">
        <v>0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/>
      <c r="L35" s="84" t="n">
        <v>25287</v>
      </c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>
        <v>11235</v>
      </c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>
        <v>14052</v>
      </c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>
        <v>25273</v>
      </c>
      <c r="AM35" s="84" t="n">
        <v>1198</v>
      </c>
      <c r="AN35" s="84" t="n"/>
      <c r="AO35" s="84" t="n">
        <v>198</v>
      </c>
      <c r="AP35" s="85">
        <f>AL35+AM35+AN35+AO35</f>
        <v/>
      </c>
    </row>
    <row r="36">
      <c r="A36" s="77" t="inlineStr">
        <is>
          <t>厦门202209-当月</t>
        </is>
      </c>
      <c r="B36" s="99" t="n"/>
      <c r="C36" s="79" t="n">
        <v>893.2333921490965</v>
      </c>
      <c r="D36" s="100" t="n">
        <v>0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>
        <v>60341</v>
      </c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>
        <v>36892</v>
      </c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>
        <v>23449</v>
      </c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>
        <v>60315</v>
      </c>
      <c r="AM36" s="84" t="n">
        <v>2862</v>
      </c>
      <c r="AN36" s="84" t="n"/>
      <c r="AO36" s="84" t="n">
        <v>781</v>
      </c>
      <c r="AP36" s="85">
        <f>AL36+AM36+AN36+AO36</f>
        <v/>
      </c>
    </row>
    <row r="37">
      <c r="A37" s="77" t="inlineStr">
        <is>
          <t>青岛</t>
        </is>
      </c>
      <c r="B37" s="99" t="n"/>
      <c r="C37" s="79" t="n">
        <v>618.8361447741083</v>
      </c>
      <c r="D37" s="100" t="n">
        <v>0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>
        <v>58127</v>
      </c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>
        <v>30818</v>
      </c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>
        <v>27309</v>
      </c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>
        <v>58108</v>
      </c>
      <c r="AM37" s="84" t="n">
        <v>2555</v>
      </c>
      <c r="AN37" s="84" t="n"/>
      <c r="AO37" s="84" t="n">
        <v>501</v>
      </c>
      <c r="AP37" s="85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>
        <v>397.0666483819175</v>
      </c>
      <c r="D38" s="100" t="n">
        <v>0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>
        <v>37021</v>
      </c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>
        <v>20120</v>
      </c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>
        <v>16901</v>
      </c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>
        <v>37007</v>
      </c>
      <c r="AM38" s="87" t="n">
        <v>1345</v>
      </c>
      <c r="AN38" s="87" t="n"/>
      <c r="AO38" s="87" t="n">
        <v>301</v>
      </c>
      <c r="AP38" s="88">
        <f>AL38+AM38+AN38+AO38</f>
        <v/>
      </c>
    </row>
    <row r="39" ht="53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39017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7"/>
  <sheetViews>
    <sheetView topLeftCell="A18" workbookViewId="0">
      <selection activeCell="D46" sqref="D4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2286.052291978329</v>
      </c>
      <c r="C3" s="45" t="n">
        <v>2313.056524271424</v>
      </c>
      <c r="D3" s="95" t="n">
        <v>2316.019236665838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173511</v>
      </c>
      <c r="L3" s="50" t="n">
        <v>175859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79636</v>
      </c>
      <c r="R3" s="56" t="n">
        <v>80746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93875</v>
      </c>
      <c r="X3" s="50" t="n">
        <v>95113</v>
      </c>
      <c r="Y3" s="51">
        <f>M3-S3</f>
        <v/>
      </c>
      <c r="Z3" s="52" t="n">
        <v>36</v>
      </c>
      <c r="AA3" s="54">
        <f>X3+Y3+Z3</f>
        <v/>
      </c>
      <c r="AK3" s="57" t="n">
        <v>171542</v>
      </c>
      <c r="AL3" s="50" t="n">
        <v>175781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108907.0393886133</v>
      </c>
      <c r="C4" s="45" t="n">
        <v>111120.5459764932</v>
      </c>
      <c r="D4" s="95" t="n">
        <v>111447.3701592708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186922</v>
      </c>
      <c r="L4" s="50" t="n">
        <v>189125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178482</v>
      </c>
      <c r="R4" s="56" t="n">
        <v>180580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8440</v>
      </c>
      <c r="X4" s="50" t="n">
        <v>8545</v>
      </c>
      <c r="Y4" s="51">
        <f>M4-S4</f>
        <v/>
      </c>
      <c r="Z4" s="52" t="n">
        <v>6</v>
      </c>
      <c r="AA4" s="54">
        <f>X4+Y4+Z4</f>
        <v/>
      </c>
      <c r="AK4" s="57" t="n">
        <v>185287</v>
      </c>
      <c r="AL4" s="50" t="n">
        <v>188759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3061.315451473818</v>
      </c>
      <c r="C5" s="45" t="n">
        <v>3099.684780183404</v>
      </c>
      <c r="D5" s="95" t="n">
        <v>3101.05374068801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346551</v>
      </c>
      <c r="L5" s="50" t="n">
        <v>350190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104843</v>
      </c>
      <c r="R5" s="56" t="n">
        <v>106063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241708</v>
      </c>
      <c r="X5" s="50" t="n">
        <v>244127</v>
      </c>
      <c r="Y5" s="51">
        <f>M5-S5</f>
        <v/>
      </c>
      <c r="Z5" s="52" t="n">
        <v>38</v>
      </c>
      <c r="AA5" s="54">
        <f>X5+Y5+Z5</f>
        <v/>
      </c>
      <c r="AK5" s="57" t="n">
        <v>343167</v>
      </c>
      <c r="AL5" s="50" t="n">
        <v>350071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501.1938901825128</v>
      </c>
      <c r="C6" s="45" t="n">
        <v>508.6594665719515</v>
      </c>
      <c r="D6" s="95" t="n">
        <v>510.0106702059501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57440</v>
      </c>
      <c r="L6" s="56" t="n">
        <v>58021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22333</v>
      </c>
      <c r="R6" s="56" t="n">
        <v>22580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35107</v>
      </c>
      <c r="X6" s="50" t="n">
        <v>35441</v>
      </c>
      <c r="Y6" s="51">
        <f>M6-S6</f>
        <v/>
      </c>
      <c r="Z6" s="52" t="n">
        <v>4</v>
      </c>
      <c r="AA6" s="54">
        <f>X6+Y6+Z6</f>
        <v/>
      </c>
      <c r="AK6" s="61" t="n">
        <v>56893</v>
      </c>
      <c r="AL6" s="56" t="n">
        <v>58004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15288.82348612037</v>
      </c>
      <c r="C7" s="45" t="n">
        <v>15503.15889118116</v>
      </c>
      <c r="D7" s="95" t="n">
        <v>15491.80416410139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821780</v>
      </c>
      <c r="L7" s="50" t="n">
        <v>837096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432266</v>
      </c>
      <c r="R7" s="56" t="n">
        <v>438831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389514</v>
      </c>
      <c r="X7" s="50" t="n">
        <v>398265</v>
      </c>
      <c r="Y7" s="51">
        <f>M7-S7</f>
        <v/>
      </c>
      <c r="Z7" s="52" t="n">
        <v>96</v>
      </c>
      <c r="AA7" s="54">
        <f>X7+Y7+Z7</f>
        <v/>
      </c>
      <c r="AK7" s="57" t="n">
        <v>809678</v>
      </c>
      <c r="AL7" s="50" t="n">
        <v>836642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1799.373516822551</v>
      </c>
      <c r="C8" s="45" t="n">
        <v>1819.347219225286</v>
      </c>
      <c r="D8" s="95" t="n">
        <v>1820.76315528705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141048</v>
      </c>
      <c r="L8" s="50" t="n">
        <v>142663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57686</v>
      </c>
      <c r="R8" s="56" t="n">
        <v>58355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83362</v>
      </c>
      <c r="X8" s="50" t="n">
        <v>84308</v>
      </c>
      <c r="Y8" s="51">
        <f>M8-S8</f>
        <v/>
      </c>
      <c r="Z8" s="52" t="n">
        <v>23</v>
      </c>
      <c r="AA8" s="54">
        <f>X8+Y8+Z8</f>
        <v/>
      </c>
      <c r="AK8" s="57" t="n">
        <v>139563</v>
      </c>
      <c r="AL8" s="50" t="n">
        <v>142596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2697.174513313747</v>
      </c>
      <c r="C9" s="45" t="n">
        <v>2709.420917651694</v>
      </c>
      <c r="D9" s="95" t="n">
        <v>2714.316609481649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97230</v>
      </c>
      <c r="L9" s="50" t="n">
        <v>98794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43150</v>
      </c>
      <c r="R9" s="56" t="n">
        <v>43673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54080</v>
      </c>
      <c r="X9" s="50" t="n">
        <v>55121</v>
      </c>
      <c r="Y9" s="51">
        <f>M9-S9</f>
        <v/>
      </c>
      <c r="Z9" s="52" t="n">
        <v>27</v>
      </c>
      <c r="AA9" s="54">
        <f>X9+Y9+Z9</f>
        <v/>
      </c>
      <c r="AK9" s="57" t="n">
        <v>96008</v>
      </c>
      <c r="AL9" s="50" t="n">
        <v>98754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3015.266081682379</v>
      </c>
      <c r="C10" s="45" t="n">
        <v>3040.662808877881</v>
      </c>
      <c r="D10" s="95" t="n">
        <v>3041.698897118998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229838</v>
      </c>
      <c r="L10" s="50" t="n">
        <v>233230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40542</v>
      </c>
      <c r="R10" s="56" t="n">
        <v>41095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189296</v>
      </c>
      <c r="X10" s="50" t="n">
        <v>192135</v>
      </c>
      <c r="Y10" s="51">
        <f>M10-S10</f>
        <v/>
      </c>
      <c r="Z10" s="52" t="n">
        <v>44</v>
      </c>
      <c r="AA10" s="54">
        <f>X10+Y10+Z10</f>
        <v/>
      </c>
      <c r="AK10" s="57" t="n">
        <v>227968</v>
      </c>
      <c r="AL10" s="50" t="n">
        <v>233207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1775.492441540142</v>
      </c>
      <c r="C11" s="45" t="n">
        <v>1803.55059526102</v>
      </c>
      <c r="D11" s="95" t="n">
        <v>1806.160039636098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206273</v>
      </c>
      <c r="L11" s="50" t="n">
        <v>209034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76536</v>
      </c>
      <c r="R11" s="56" t="n">
        <v>77645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129737</v>
      </c>
      <c r="X11" s="50" t="n">
        <v>131389</v>
      </c>
      <c r="Y11" s="51">
        <f>M11-S11</f>
        <v/>
      </c>
      <c r="Z11" s="52" t="n">
        <v>53</v>
      </c>
      <c r="AA11" s="54">
        <f>X11+Y11+Z11</f>
        <v/>
      </c>
      <c r="AK11" s="57" t="n">
        <v>203982</v>
      </c>
      <c r="AL11" s="50" t="n">
        <v>208954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3222.10452238372</v>
      </c>
      <c r="C12" s="45" t="n">
        <v>3269.860667175908</v>
      </c>
      <c r="D12" s="95" t="n">
        <v>3270.285107484628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317285</v>
      </c>
      <c r="L12" s="50" t="n">
        <v>322210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123014</v>
      </c>
      <c r="R12" s="56" t="n">
        <v>124829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194271</v>
      </c>
      <c r="X12" s="50" t="n">
        <v>197381</v>
      </c>
      <c r="Y12" s="51">
        <f>M12-S12</f>
        <v/>
      </c>
      <c r="Z12" s="52" t="n">
        <v>64</v>
      </c>
      <c r="AA12" s="54">
        <f>X12+Y12+Z12</f>
        <v/>
      </c>
      <c r="AK12" s="57" t="n">
        <v>312442</v>
      </c>
      <c r="AL12" s="50" t="n">
        <v>322064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922.4314671938639</v>
      </c>
      <c r="C13" s="45" t="n">
        <v>934.1933479348911</v>
      </c>
      <c r="D13" s="95" t="n">
        <v>936.6720200804538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80653</v>
      </c>
      <c r="L13" s="50" t="n">
        <v>81866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22425</v>
      </c>
      <c r="R13" s="56" t="n">
        <v>22776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58228</v>
      </c>
      <c r="X13" s="50" t="n">
        <v>59090</v>
      </c>
      <c r="Y13" s="51">
        <f>M13-S13</f>
        <v/>
      </c>
      <c r="Z13" s="52" t="n">
        <v>36</v>
      </c>
      <c r="AA13" s="54">
        <f>X13+Y13+Z13</f>
        <v/>
      </c>
      <c r="AK13" s="57" t="n">
        <v>79797</v>
      </c>
      <c r="AL13" s="50" t="n">
        <v>81832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3920.984795957306</v>
      </c>
      <c r="C14" s="45" t="n">
        <v>3968.11093611915</v>
      </c>
      <c r="D14" s="95" t="n">
        <v>3967.686394041312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270103</v>
      </c>
      <c r="L14" s="50" t="n">
        <v>275073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94691</v>
      </c>
      <c r="R14" s="56" t="n">
        <v>96447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175412</v>
      </c>
      <c r="X14" s="50" t="n">
        <v>178626</v>
      </c>
      <c r="Y14" s="51">
        <f>M14-S14</f>
        <v/>
      </c>
      <c r="Z14" s="52" t="n">
        <v>50</v>
      </c>
      <c r="AA14" s="54">
        <f>X14+Y14+Z14</f>
        <v/>
      </c>
      <c r="AK14" s="57" t="n">
        <v>266255</v>
      </c>
      <c r="AL14" s="50" t="n">
        <v>274957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3062.630815201675</v>
      </c>
      <c r="C15" s="45" t="n">
        <v>3115.235672971511</v>
      </c>
      <c r="D15" s="95" t="n">
        <v>3113.514574941804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262137</v>
      </c>
      <c r="L15" s="50" t="n">
        <v>266846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87283</v>
      </c>
      <c r="R15" s="56" t="n">
        <v>88583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174854</v>
      </c>
      <c r="X15" s="50" t="n">
        <v>178263</v>
      </c>
      <c r="Y15" s="51">
        <f>M15-S15</f>
        <v/>
      </c>
      <c r="Z15" s="52" t="n">
        <v>53</v>
      </c>
      <c r="AA15" s="54">
        <f>X15+Y15+Z15</f>
        <v/>
      </c>
      <c r="AK15" s="57" t="n">
        <v>258236</v>
      </c>
      <c r="AL15" s="50" t="n">
        <v>266726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538.3627365477182</v>
      </c>
      <c r="C16" s="45" t="n">
        <v>547.6654631375577</v>
      </c>
      <c r="D16" s="95" t="n">
        <v>546.5953217686325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73633</v>
      </c>
      <c r="L16" s="50" t="n">
        <v>74679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20897</v>
      </c>
      <c r="R16" s="56" t="n">
        <v>21224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52736</v>
      </c>
      <c r="X16" s="50" t="n">
        <v>53455</v>
      </c>
      <c r="Y16" s="51">
        <f>M16-S16</f>
        <v/>
      </c>
      <c r="Z16" s="52" t="n">
        <v>11</v>
      </c>
      <c r="AA16" s="54">
        <f>X16+Y16+Z16</f>
        <v/>
      </c>
      <c r="AK16" s="57" t="n">
        <v>72906</v>
      </c>
      <c r="AL16" s="50" t="n">
        <v>74657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5025.468151998448</v>
      </c>
      <c r="C17" s="45" t="n">
        <v>5089.920722525511</v>
      </c>
      <c r="D17" s="95" t="n">
        <v>5090.75519322392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316237</v>
      </c>
      <c r="L17" s="50" t="n">
        <v>319902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157166</v>
      </c>
      <c r="R17" s="56" t="n">
        <v>158972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159071</v>
      </c>
      <c r="X17" s="50" t="n">
        <v>160930</v>
      </c>
      <c r="Y17" s="51">
        <f>M17-S17</f>
        <v/>
      </c>
      <c r="Z17" s="52" t="n">
        <v>147</v>
      </c>
      <c r="AA17" s="54">
        <f>X17+Y17+Z17</f>
        <v/>
      </c>
      <c r="AK17" s="57" t="n">
        <v>312899</v>
      </c>
      <c r="AL17" s="50" t="n">
        <v>319765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1665.583539158829</v>
      </c>
      <c r="C18" s="45" t="n">
        <v>1683.510078008351</v>
      </c>
      <c r="D18" s="95" t="n">
        <v>1683.76014955529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285945</v>
      </c>
      <c r="L18" s="50" t="n">
        <v>287403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39182</v>
      </c>
      <c r="R18" s="56" t="n">
        <v>39772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246763</v>
      </c>
      <c r="X18" s="50" t="n">
        <v>247631</v>
      </c>
      <c r="Y18" s="51">
        <f>M18-S18</f>
        <v/>
      </c>
      <c r="Z18" s="52" t="n">
        <v>28</v>
      </c>
      <c r="AA18" s="54">
        <f>X18+Y18+Z18</f>
        <v/>
      </c>
      <c r="AK18" s="57" t="n">
        <v>284636</v>
      </c>
      <c r="AL18" s="50" t="n">
        <v>287290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1681.704006232998</v>
      </c>
      <c r="C19" s="45" t="n">
        <v>1704.446167275533</v>
      </c>
      <c r="D19" s="95" t="n">
        <v>1706.362981209099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130286</v>
      </c>
      <c r="L19" s="50" t="n">
        <v>132709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44452</v>
      </c>
      <c r="R19" s="56" t="n">
        <v>45107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85834</v>
      </c>
      <c r="X19" s="50" t="n">
        <v>87602</v>
      </c>
      <c r="Y19" s="51">
        <f>M19-S19</f>
        <v/>
      </c>
      <c r="Z19" s="52" t="n">
        <v>60</v>
      </c>
      <c r="AA19" s="54">
        <f>X19+Y19+Z19</f>
        <v/>
      </c>
      <c r="AK19" s="57" t="n">
        <v>127864</v>
      </c>
      <c r="AL19" s="50" t="n">
        <v>132635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669.6617393807093</v>
      </c>
      <c r="C20" s="45" t="n">
        <v>680.5818797643319</v>
      </c>
      <c r="D20" s="95" t="n">
        <v>681.0474701996171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78278</v>
      </c>
      <c r="L20" s="50" t="n">
        <v>79718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23335</v>
      </c>
      <c r="R20" s="56" t="n">
        <v>23650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54943</v>
      </c>
      <c r="X20" s="50" t="n">
        <v>56068</v>
      </c>
      <c r="Y20" s="51">
        <f>M20-S20</f>
        <v/>
      </c>
      <c r="Z20" s="52" t="n">
        <v>24</v>
      </c>
      <c r="AA20" s="54">
        <f>X20+Y20+Z20</f>
        <v/>
      </c>
      <c r="AK20" s="57" t="n">
        <v>77146</v>
      </c>
      <c r="AL20" s="50" t="n">
        <v>79665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241.0317538564829</v>
      </c>
      <c r="C21" s="45" t="n">
        <v>244.3713090674609</v>
      </c>
      <c r="D21" s="95" t="n">
        <v>244.8160695574161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23038</v>
      </c>
      <c r="L21" s="56" t="n">
        <v>23343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9561</v>
      </c>
      <c r="R21" s="56" t="n">
        <v>9689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13477</v>
      </c>
      <c r="X21" s="50" t="n">
        <v>13654</v>
      </c>
      <c r="Y21" s="51">
        <f>M21-S21</f>
        <v/>
      </c>
      <c r="Z21" s="52" t="n">
        <v>25</v>
      </c>
      <c r="AA21" s="54">
        <f>X21+Y21+Z21</f>
        <v/>
      </c>
      <c r="AK21" s="61" t="n">
        <v>22817</v>
      </c>
      <c r="AL21" s="56" t="n">
        <v>23330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131.4398246819806</v>
      </c>
      <c r="C22" s="45" t="n">
        <v>133.5407526698304</v>
      </c>
      <c r="D22" s="95" t="n">
        <v>133.8391711910335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11425</v>
      </c>
      <c r="L22" s="50" t="n">
        <v>11595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4396</v>
      </c>
      <c r="R22" s="56" t="n">
        <v>4470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7029</v>
      </c>
      <c r="X22" s="50" t="n">
        <v>7125</v>
      </c>
      <c r="Y22" s="51">
        <f>M22-S22</f>
        <v/>
      </c>
      <c r="Z22" s="52" t="n">
        <v>6</v>
      </c>
      <c r="AA22" s="54">
        <f>X22+Y22+Z22</f>
        <v/>
      </c>
      <c r="AK22" s="57" t="n">
        <v>11277</v>
      </c>
      <c r="AL22" s="50" t="n">
        <v>11578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3745.248578845897</v>
      </c>
      <c r="C23" s="45" t="n">
        <v>3799.899646442403</v>
      </c>
      <c r="D23" s="95" t="n">
        <v>3803.212908794131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406586</v>
      </c>
      <c r="L23" s="50" t="n">
        <v>411445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168057</v>
      </c>
      <c r="R23" s="56" t="n">
        <v>170059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238529</v>
      </c>
      <c r="X23" s="50" t="n">
        <v>241386</v>
      </c>
      <c r="Y23" s="51">
        <f>M23-S23</f>
        <v/>
      </c>
      <c r="Z23" s="52" t="n">
        <v>55</v>
      </c>
      <c r="AA23" s="54">
        <f>X23+Y23+Z23</f>
        <v/>
      </c>
      <c r="AK23" s="57" t="n">
        <v>402471</v>
      </c>
      <c r="AL23" s="50" t="n">
        <v>411333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903.5771495346647</v>
      </c>
      <c r="C24" s="45" t="n">
        <v>917.3388721656564</v>
      </c>
      <c r="D24" s="95" t="n">
        <v>918.2593184565799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99014</v>
      </c>
      <c r="L24" s="50" t="n">
        <v>100306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38420</v>
      </c>
      <c r="R24" s="56" t="n">
        <v>38943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60594</v>
      </c>
      <c r="X24" s="50" t="n">
        <v>61363</v>
      </c>
      <c r="Y24" s="51">
        <f>M24-S24</f>
        <v/>
      </c>
      <c r="Z24" s="52" t="n">
        <v>19</v>
      </c>
      <c r="AA24" s="54">
        <f>X24+Y24+Z24</f>
        <v/>
      </c>
      <c r="AK24" s="57" t="n">
        <v>98111</v>
      </c>
      <c r="AL24" s="50" t="n">
        <v>100265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1151.249161387674</v>
      </c>
      <c r="C25" s="45" t="n">
        <v>1168.122834147011</v>
      </c>
      <c r="D25" s="95" t="n">
        <v>1169.320099585981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149325</v>
      </c>
      <c r="L25" s="50" t="n">
        <v>150599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40673</v>
      </c>
      <c r="R25" s="56" t="n">
        <v>41277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108652</v>
      </c>
      <c r="X25" s="50" t="n">
        <v>109322</v>
      </c>
      <c r="Y25" s="51">
        <f>M25-S25</f>
        <v/>
      </c>
      <c r="Z25" s="52" t="n">
        <v>20</v>
      </c>
      <c r="AA25" s="54">
        <f>X25+Y25+Z25</f>
        <v/>
      </c>
      <c r="AK25" s="57" t="n">
        <v>148449</v>
      </c>
      <c r="AL25" s="50" t="n">
        <v>150564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9818.741187400145</v>
      </c>
      <c r="C26" s="45" t="n">
        <v>9962.333467861123</v>
      </c>
      <c r="D26" s="95" t="n">
        <v>9974.906878857666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167563</v>
      </c>
      <c r="L26" s="50" t="n">
        <v>169448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153917</v>
      </c>
      <c r="R26" s="56" t="n">
        <v>155637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13646</v>
      </c>
      <c r="X26" s="50" t="n">
        <v>13811</v>
      </c>
      <c r="Y26" s="51">
        <f>M26-S26</f>
        <v/>
      </c>
      <c r="Z26" s="52" t="n">
        <v>9</v>
      </c>
      <c r="AA26" s="54">
        <f>X26+Y26+Z26</f>
        <v/>
      </c>
      <c r="AK26" s="57" t="n">
        <v>166210</v>
      </c>
      <c r="AL26" s="50" t="n">
        <v>169273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4624.114478920147</v>
      </c>
      <c r="C27" s="45" t="n">
        <v>4682.99027436748</v>
      </c>
      <c r="D27" s="95" t="n">
        <v>4683.279250996099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285833</v>
      </c>
      <c r="L27" s="50" t="n">
        <v>289448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147640</v>
      </c>
      <c r="R27" s="56" t="n">
        <v>149732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138193</v>
      </c>
      <c r="X27" s="50" t="n">
        <v>139716</v>
      </c>
      <c r="Y27" s="51">
        <f>M27-S27</f>
        <v/>
      </c>
      <c r="Z27" s="52" t="n">
        <v>60</v>
      </c>
      <c r="AA27" s="54">
        <f>X27+Y27+Z27</f>
        <v/>
      </c>
      <c r="AK27" s="57" t="n">
        <v>282624</v>
      </c>
      <c r="AL27" s="50" t="n">
        <v>289288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1500.141505684205</v>
      </c>
      <c r="C28" s="45" t="n">
        <v>1515.533975726076</v>
      </c>
      <c r="D28" s="95" t="n">
        <v>1513.680886469718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45520</v>
      </c>
      <c r="L28" s="50" t="n">
        <v>46143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27442</v>
      </c>
      <c r="R28" s="56" t="n">
        <v>27754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18078</v>
      </c>
      <c r="X28" s="50" t="n">
        <v>18389</v>
      </c>
      <c r="Y28" s="51">
        <f>M28-S28</f>
        <v/>
      </c>
      <c r="Z28" s="52" t="n">
        <v>6</v>
      </c>
      <c r="AA28" s="54">
        <f>X28+Y28+Z28</f>
        <v/>
      </c>
      <c r="AK28" s="57" t="n">
        <v>45046</v>
      </c>
      <c r="AL28" s="50" t="n">
        <v>46112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50.09371138459351</v>
      </c>
      <c r="C29" s="45" t="n">
        <v>50.84225872790366</v>
      </c>
      <c r="D29" s="95" t="n">
        <v>50.98623065550085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3448</v>
      </c>
      <c r="L29" s="50" t="n">
        <v>3495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1285</v>
      </c>
      <c r="R29" s="56" t="n">
        <v>1299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2163</v>
      </c>
      <c r="X29" s="50" t="n">
        <v>2196</v>
      </c>
      <c r="Y29" s="51">
        <f>M29-S29</f>
        <v/>
      </c>
      <c r="Z29" s="52" t="n">
        <v>1</v>
      </c>
      <c r="AA29" s="54">
        <f>X29+Y29+Z29</f>
        <v/>
      </c>
      <c r="AK29" s="57" t="n">
        <v>3398</v>
      </c>
      <c r="AL29" s="50" t="n">
        <v>3489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901.963643694236</v>
      </c>
      <c r="C30" s="45" t="n">
        <v>915.9204440518625</v>
      </c>
      <c r="D30" s="95" t="n">
        <v>915.7192932253245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85156</v>
      </c>
      <c r="L30" s="50" t="n">
        <v>86203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21897</v>
      </c>
      <c r="R30" s="56" t="n">
        <v>22196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63259</v>
      </c>
      <c r="X30" s="50" t="n">
        <v>64007</v>
      </c>
      <c r="Y30" s="51">
        <f>M30-S30</f>
        <v/>
      </c>
      <c r="Z30" s="52" t="n">
        <v>29</v>
      </c>
      <c r="AA30" s="54">
        <f>X30+Y30+Z30</f>
        <v/>
      </c>
      <c r="AK30" s="57" t="n">
        <v>84267</v>
      </c>
      <c r="AL30" s="50" t="n">
        <v>86169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1770.710662519105</v>
      </c>
      <c r="C31" s="45" t="n">
        <v>1792.80683410301</v>
      </c>
      <c r="D31" s="95" t="n">
        <v>1794.27953443753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170254</v>
      </c>
      <c r="L31" s="50" t="n">
        <v>172582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58856</v>
      </c>
      <c r="R31" s="56" t="n">
        <v>59631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111398</v>
      </c>
      <c r="X31" s="50" t="n">
        <v>112951</v>
      </c>
      <c r="Y31" s="51">
        <f>M31-S31</f>
        <v/>
      </c>
      <c r="Z31" s="52" t="n">
        <v>45</v>
      </c>
      <c r="AA31" s="54">
        <f>X31+Y31+Z31</f>
        <v/>
      </c>
      <c r="AK31" s="57" t="n">
        <v>168133</v>
      </c>
      <c r="AL31" s="50" t="n">
        <v>172506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8845.785395523741</v>
      </c>
      <c r="C32" s="45" t="n">
        <v>8937.527622228245</v>
      </c>
      <c r="D32" s="95" t="n">
        <v>8938.98764144515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345577</v>
      </c>
      <c r="L32" s="50" t="n">
        <v>350530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179696</v>
      </c>
      <c r="R32" s="56" t="n">
        <v>182205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165881</v>
      </c>
      <c r="X32" s="50" t="n">
        <v>168325</v>
      </c>
      <c r="Y32" s="51">
        <f>M32-S32</f>
        <v/>
      </c>
      <c r="Z32" s="52" t="n">
        <v>56</v>
      </c>
      <c r="AA32" s="54">
        <f>X32+Y32+Z32</f>
        <v/>
      </c>
      <c r="AK32" s="57" t="n">
        <v>341050</v>
      </c>
      <c r="AL32" s="50" t="n">
        <v>350373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2168.066407406954</v>
      </c>
      <c r="C33" s="45" t="n">
        <v>2195.831900978623</v>
      </c>
      <c r="D33" s="95" t="n">
        <v>2195.675213886687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104647</v>
      </c>
      <c r="L33" s="50" t="n">
        <v>106333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57803</v>
      </c>
      <c r="R33" s="56" t="n">
        <v>58635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46844</v>
      </c>
      <c r="X33" s="50" t="n">
        <v>47698</v>
      </c>
      <c r="Y33" s="51">
        <f>M33-S33</f>
        <v/>
      </c>
      <c r="Z33" s="52" t="n">
        <v>15</v>
      </c>
      <c r="AA33" s="54">
        <f>X33+Y33+Z33</f>
        <v/>
      </c>
      <c r="AK33" s="57" t="n">
        <v>103234</v>
      </c>
      <c r="AL33" s="50" t="n">
        <v>106273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5309633.029421424</v>
      </c>
      <c r="C34" s="64" t="n">
        <v>5554627.409727677</v>
      </c>
      <c r="D34" s="97" t="n">
        <v>5559806.946359418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51532655</v>
      </c>
      <c r="L34" s="70" t="n">
        <v>52514858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2867467</v>
      </c>
      <c r="R34" s="72" t="n">
        <v>2905658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3858654</v>
      </c>
      <c r="X34" s="70" t="n">
        <v>3911617</v>
      </c>
      <c r="Y34" s="70" t="n">
        <v>240028</v>
      </c>
      <c r="Z34" s="70" t="n">
        <v>1244</v>
      </c>
      <c r="AA34" s="73">
        <f>X34+Y34+Z34</f>
        <v/>
      </c>
      <c r="AB34" s="74" t="n">
        <v>44806534</v>
      </c>
      <c r="AC34" s="75" t="n">
        <v>45697583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6722423</v>
      </c>
      <c r="AL34" s="70" t="n">
        <v>6813567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0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5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0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5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0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5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0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8">
        <f>AL38+AM38+AN38+AO38</f>
        <v/>
      </c>
    </row>
    <row r="39" ht="53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38522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2256.08534729082</v>
      </c>
      <c r="C3" s="45" t="n">
        <v>2286.052291978329</v>
      </c>
      <c r="D3" s="95" t="n">
        <v>2292.71288509104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171619</v>
      </c>
      <c r="L3" s="50" t="n">
        <v>173511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78807</v>
      </c>
      <c r="R3" s="56" t="n">
        <v>79636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92812</v>
      </c>
      <c r="X3" s="50" t="n">
        <v>93875</v>
      </c>
      <c r="Y3" s="51">
        <f>M3-S3</f>
        <v/>
      </c>
      <c r="Z3" s="52" t="n">
        <v>36</v>
      </c>
      <c r="AA3" s="54">
        <f>X3+Y3+Z3</f>
        <v/>
      </c>
      <c r="AK3" s="57" t="n">
        <v>171542</v>
      </c>
      <c r="AL3" s="50" t="n"/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106366.7086179557</v>
      </c>
      <c r="C4" s="45" t="n">
        <v>108907.0393886133</v>
      </c>
      <c r="D4" s="95" t="n">
        <v>110297.2434961376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185655</v>
      </c>
      <c r="L4" s="50" t="n">
        <v>186922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177322</v>
      </c>
      <c r="R4" s="56" t="n">
        <v>178482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8333</v>
      </c>
      <c r="X4" s="50" t="n">
        <v>8440</v>
      </c>
      <c r="Y4" s="51">
        <f>M4-S4</f>
        <v/>
      </c>
      <c r="Z4" s="52" t="n">
        <v>6</v>
      </c>
      <c r="AA4" s="54">
        <f>X4+Y4+Z4</f>
        <v/>
      </c>
      <c r="AK4" s="57" t="n">
        <v>185287</v>
      </c>
      <c r="AL4" s="50" t="n"/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3021.577162259626</v>
      </c>
      <c r="C5" s="45" t="n">
        <v>3061.315451473818</v>
      </c>
      <c r="D5" s="95" t="n">
        <v>3070.259814631602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343286</v>
      </c>
      <c r="L5" s="50" t="n">
        <v>346551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104013</v>
      </c>
      <c r="R5" s="56" t="n">
        <v>104843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239273</v>
      </c>
      <c r="X5" s="50" t="n">
        <v>241708</v>
      </c>
      <c r="Y5" s="51">
        <f>M5-S5</f>
        <v/>
      </c>
      <c r="Z5" s="52" t="n">
        <v>38</v>
      </c>
      <c r="AA5" s="54">
        <f>X5+Y5+Z5</f>
        <v/>
      </c>
      <c r="AK5" s="57" t="n">
        <v>343167</v>
      </c>
      <c r="AL5" s="50" t="n"/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492.3771101590755</v>
      </c>
      <c r="C6" s="45" t="n">
        <v>501.1938901825128</v>
      </c>
      <c r="D6" s="95" t="n">
        <v>502.1570146713054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56910</v>
      </c>
      <c r="L6" s="56" t="n">
        <v>57440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22109</v>
      </c>
      <c r="R6" s="56" t="n">
        <v>22333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34801</v>
      </c>
      <c r="X6" s="50" t="n">
        <v>35107</v>
      </c>
      <c r="Y6" s="51">
        <f>M6-S6</f>
        <v/>
      </c>
      <c r="Z6" s="52" t="n">
        <v>4</v>
      </c>
      <c r="AA6" s="54">
        <f>X6+Y6+Z6</f>
        <v/>
      </c>
      <c r="AK6" s="61" t="n">
        <v>56893</v>
      </c>
      <c r="AL6" s="56" t="n"/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15085.84280813934</v>
      </c>
      <c r="C7" s="45" t="n">
        <v>15288.82348612037</v>
      </c>
      <c r="D7" s="95" t="n">
        <v>15353.58119012416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810129</v>
      </c>
      <c r="L7" s="50" t="n">
        <v>821780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427106</v>
      </c>
      <c r="R7" s="56" t="n">
        <v>432266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383023</v>
      </c>
      <c r="X7" s="50" t="n">
        <v>389514</v>
      </c>
      <c r="Y7" s="51">
        <f>M7-S7</f>
        <v/>
      </c>
      <c r="Z7" s="52" t="n">
        <v>96</v>
      </c>
      <c r="AA7" s="54">
        <f>X7+Y7+Z7</f>
        <v/>
      </c>
      <c r="AK7" s="57" t="n">
        <v>809678</v>
      </c>
      <c r="AL7" s="50" t="n"/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1777.983878358051</v>
      </c>
      <c r="C8" s="45" t="n">
        <v>1799.373516822551</v>
      </c>
      <c r="D8" s="95" t="n">
        <v>1813.038363923589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139630</v>
      </c>
      <c r="L8" s="50" t="n">
        <v>141048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57168</v>
      </c>
      <c r="R8" s="56" t="n">
        <v>57686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82462</v>
      </c>
      <c r="X8" s="50" t="n">
        <v>83362</v>
      </c>
      <c r="Y8" s="51">
        <f>M8-S8</f>
        <v/>
      </c>
      <c r="Z8" s="52" t="n">
        <v>23</v>
      </c>
      <c r="AA8" s="54">
        <f>X8+Y8+Z8</f>
        <v/>
      </c>
      <c r="AK8" s="57" t="n">
        <v>139563</v>
      </c>
      <c r="AL8" s="50" t="n"/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2680.032417145844</v>
      </c>
      <c r="C9" s="45" t="n">
        <v>2697.174513313747</v>
      </c>
      <c r="D9" s="95" t="n">
        <v>2696.61187693322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96047</v>
      </c>
      <c r="L9" s="50" t="n">
        <v>97230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42741</v>
      </c>
      <c r="R9" s="56" t="n">
        <v>43150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53306</v>
      </c>
      <c r="X9" s="50" t="n">
        <v>54080</v>
      </c>
      <c r="Y9" s="51">
        <f>M9-S9</f>
        <v/>
      </c>
      <c r="Z9" s="52" t="n">
        <v>27</v>
      </c>
      <c r="AA9" s="54">
        <f>X9+Y9+Z9</f>
        <v/>
      </c>
      <c r="AK9" s="57" t="n">
        <v>96008</v>
      </c>
      <c r="AL9" s="50" t="n"/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2988.83326624576</v>
      </c>
      <c r="C10" s="45" t="n">
        <v>3015.266081682379</v>
      </c>
      <c r="D10" s="95" t="n">
        <v>3032.553160953359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227991</v>
      </c>
      <c r="L10" s="50" t="n">
        <v>229838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40304</v>
      </c>
      <c r="R10" s="56" t="n">
        <v>40542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187687</v>
      </c>
      <c r="X10" s="50" t="n">
        <v>189296</v>
      </c>
      <c r="Y10" s="51">
        <f>M10-S10</f>
        <v/>
      </c>
      <c r="Z10" s="52" t="n">
        <v>44</v>
      </c>
      <c r="AA10" s="54">
        <f>X10+Y10+Z10</f>
        <v/>
      </c>
      <c r="AK10" s="57" t="n">
        <v>227968</v>
      </c>
      <c r="AL10" s="50" t="n"/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1744.824843444185</v>
      </c>
      <c r="C11" s="45" t="n">
        <v>1775.492441540142</v>
      </c>
      <c r="D11" s="95" t="n">
        <v>1781.131466650319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204062</v>
      </c>
      <c r="L11" s="50" t="n">
        <v>206273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75717</v>
      </c>
      <c r="R11" s="56" t="n">
        <v>76536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128345</v>
      </c>
      <c r="X11" s="50" t="n">
        <v>129737</v>
      </c>
      <c r="Y11" s="51">
        <f>M11-S11</f>
        <v/>
      </c>
      <c r="Z11" s="52" t="n">
        <v>53</v>
      </c>
      <c r="AA11" s="54">
        <f>X11+Y11+Z11</f>
        <v/>
      </c>
      <c r="AK11" s="57" t="n">
        <v>203982</v>
      </c>
      <c r="AL11" s="50" t="n"/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3173.923937282811</v>
      </c>
      <c r="C12" s="45" t="n">
        <v>3222.10452238372</v>
      </c>
      <c r="D12" s="95" t="n">
        <v>3243.633766497586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312587</v>
      </c>
      <c r="L12" s="50" t="n">
        <v>317285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121587</v>
      </c>
      <c r="R12" s="56" t="n">
        <v>123014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191000</v>
      </c>
      <c r="X12" s="50" t="n">
        <v>194271</v>
      </c>
      <c r="Y12" s="51">
        <f>M12-S12</f>
        <v/>
      </c>
      <c r="Z12" s="52" t="n">
        <v>64</v>
      </c>
      <c r="AA12" s="54">
        <f>X12+Y12+Z12</f>
        <v/>
      </c>
      <c r="AK12" s="57" t="n">
        <v>312442</v>
      </c>
      <c r="AL12" s="50" t="n"/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908.1909143072741</v>
      </c>
      <c r="C13" s="45" t="n">
        <v>922.4314671938639</v>
      </c>
      <c r="D13" s="95" t="n">
        <v>923.6729533450068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79830</v>
      </c>
      <c r="L13" s="50" t="n">
        <v>80653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22160</v>
      </c>
      <c r="R13" s="56" t="n">
        <v>22425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57670</v>
      </c>
      <c r="X13" s="50" t="n">
        <v>58228</v>
      </c>
      <c r="Y13" s="51">
        <f>M13-S13</f>
        <v/>
      </c>
      <c r="Z13" s="52" t="n">
        <v>36</v>
      </c>
      <c r="AA13" s="54">
        <f>X13+Y13+Z13</f>
        <v/>
      </c>
      <c r="AK13" s="57" t="n">
        <v>79797</v>
      </c>
      <c r="AL13" s="50" t="n"/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3874.2831978733</v>
      </c>
      <c r="C14" s="45" t="n">
        <v>3920.984795957306</v>
      </c>
      <c r="D14" s="95" t="n">
        <v>3932.625825195978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266370</v>
      </c>
      <c r="L14" s="50" t="n">
        <v>270103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93448</v>
      </c>
      <c r="R14" s="56" t="n">
        <v>94691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172922</v>
      </c>
      <c r="X14" s="50" t="n">
        <v>175412</v>
      </c>
      <c r="Y14" s="51">
        <f>M14-S14</f>
        <v/>
      </c>
      <c r="Z14" s="52" t="n">
        <v>50</v>
      </c>
      <c r="AA14" s="54">
        <f>X14+Y14+Z14</f>
        <v/>
      </c>
      <c r="AK14" s="57" t="n">
        <v>266255</v>
      </c>
      <c r="AL14" s="50" t="n"/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3011.747055461547</v>
      </c>
      <c r="C15" s="45" t="n">
        <v>3062.630815201675</v>
      </c>
      <c r="D15" s="95" t="n">
        <v>3070.993916782323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258354</v>
      </c>
      <c r="L15" s="50" t="n">
        <v>262137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86461</v>
      </c>
      <c r="R15" s="56" t="n">
        <v>87283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171893</v>
      </c>
      <c r="X15" s="50" t="n">
        <v>174854</v>
      </c>
      <c r="Y15" s="51">
        <f>M15-S15</f>
        <v/>
      </c>
      <c r="Z15" s="52" t="n">
        <v>53</v>
      </c>
      <c r="AA15" s="54">
        <f>X15+Y15+Z15</f>
        <v/>
      </c>
      <c r="AK15" s="57" t="n">
        <v>258236</v>
      </c>
      <c r="AL15" s="50" t="n"/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530.1301513268039</v>
      </c>
      <c r="C16" s="45" t="n">
        <v>538.3627365477182</v>
      </c>
      <c r="D16" s="95" t="n">
        <v>539.6198158985368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72928</v>
      </c>
      <c r="L16" s="50" t="n">
        <v>73633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20697</v>
      </c>
      <c r="R16" s="56" t="n">
        <v>20897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52231</v>
      </c>
      <c r="X16" s="50" t="n">
        <v>52736</v>
      </c>
      <c r="Y16" s="51">
        <f>M16-S16</f>
        <v/>
      </c>
      <c r="Z16" s="52" t="n">
        <v>11</v>
      </c>
      <c r="AA16" s="54">
        <f>X16+Y16+Z16</f>
        <v/>
      </c>
      <c r="AK16" s="57" t="n">
        <v>72906</v>
      </c>
      <c r="AL16" s="50" t="n"/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4960.181110772975</v>
      </c>
      <c r="C17" s="45" t="n">
        <v>5025.468151998448</v>
      </c>
      <c r="D17" s="95" t="n">
        <v>5043.609200121963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313035</v>
      </c>
      <c r="L17" s="50" t="n">
        <v>316237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155639</v>
      </c>
      <c r="R17" s="56" t="n">
        <v>157166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157396</v>
      </c>
      <c r="X17" s="50" t="n">
        <v>159071</v>
      </c>
      <c r="Y17" s="51">
        <f>M17-S17</f>
        <v/>
      </c>
      <c r="Z17" s="52" t="n">
        <v>147</v>
      </c>
      <c r="AA17" s="54">
        <f>X17+Y17+Z17</f>
        <v/>
      </c>
      <c r="AK17" s="57" t="n">
        <v>312899</v>
      </c>
      <c r="AL17" s="50" t="n"/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1647.406928762369</v>
      </c>
      <c r="C18" s="45" t="n">
        <v>1665.583539158829</v>
      </c>
      <c r="D18" s="95" t="n">
        <v>1668.816440028304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284745</v>
      </c>
      <c r="L18" s="50" t="n">
        <v>285945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38762</v>
      </c>
      <c r="R18" s="56" t="n">
        <v>39182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245983</v>
      </c>
      <c r="X18" s="50" t="n">
        <v>246763</v>
      </c>
      <c r="Y18" s="51">
        <f>M18-S18</f>
        <v/>
      </c>
      <c r="Z18" s="52" t="n">
        <v>28</v>
      </c>
      <c r="AA18" s="54">
        <f>X18+Y18+Z18</f>
        <v/>
      </c>
      <c r="AK18" s="57" t="n">
        <v>284636</v>
      </c>
      <c r="AL18" s="50" t="n"/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1657.045031256897</v>
      </c>
      <c r="C19" s="45" t="n">
        <v>1681.704006232998</v>
      </c>
      <c r="D19" s="95" t="n">
        <v>1682.717562814478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127938</v>
      </c>
      <c r="L19" s="50" t="n">
        <v>130286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43948</v>
      </c>
      <c r="R19" s="56" t="n">
        <v>44452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83990</v>
      </c>
      <c r="X19" s="50" t="n">
        <v>85834</v>
      </c>
      <c r="Y19" s="51">
        <f>M19-S19</f>
        <v/>
      </c>
      <c r="Z19" s="52" t="n">
        <v>60</v>
      </c>
      <c r="AA19" s="54">
        <f>X19+Y19+Z19</f>
        <v/>
      </c>
      <c r="AK19" s="57" t="n">
        <v>127864</v>
      </c>
      <c r="AL19" s="50" t="n"/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658.2760085618014</v>
      </c>
      <c r="C20" s="45" t="n">
        <v>669.6617393807093</v>
      </c>
      <c r="D20" s="95" t="n">
        <v>671.5319466843463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77199</v>
      </c>
      <c r="L20" s="50" t="n">
        <v>78278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23104</v>
      </c>
      <c r="R20" s="56" t="n">
        <v>23335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54095</v>
      </c>
      <c r="X20" s="50" t="n">
        <v>54943</v>
      </c>
      <c r="Y20" s="51">
        <f>M20-S20</f>
        <v/>
      </c>
      <c r="Z20" s="52" t="n">
        <v>24</v>
      </c>
      <c r="AA20" s="54">
        <f>X20+Y20+Z20</f>
        <v/>
      </c>
      <c r="AK20" s="57" t="n">
        <v>77146</v>
      </c>
      <c r="AL20" s="50" t="n"/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237.2474381555497</v>
      </c>
      <c r="C21" s="45" t="n">
        <v>241.0317538564829</v>
      </c>
      <c r="D21" s="95" t="n">
        <v>242.7529173980213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22830</v>
      </c>
      <c r="L21" s="56" t="n">
        <v>23038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9495</v>
      </c>
      <c r="R21" s="56" t="n">
        <v>9561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13335</v>
      </c>
      <c r="X21" s="50" t="n">
        <v>13477</v>
      </c>
      <c r="Y21" s="51">
        <f>M21-S21</f>
        <v/>
      </c>
      <c r="Z21" s="52" t="n">
        <v>25</v>
      </c>
      <c r="AA21" s="54">
        <f>X21+Y21+Z21</f>
        <v/>
      </c>
      <c r="AK21" s="61" t="n">
        <v>22817</v>
      </c>
      <c r="AL21" s="56" t="n"/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129.0404781729278</v>
      </c>
      <c r="C22" s="45" t="n">
        <v>131.4398246819806</v>
      </c>
      <c r="D22" s="95" t="n">
        <v>131.6531827630153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11294</v>
      </c>
      <c r="L22" s="50" t="n">
        <v>11425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4346</v>
      </c>
      <c r="R22" s="56" t="n">
        <v>4396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6948</v>
      </c>
      <c r="X22" s="50" t="n">
        <v>7029</v>
      </c>
      <c r="Y22" s="51">
        <f>M22-S22</f>
        <v/>
      </c>
      <c r="Z22" s="52" t="n">
        <v>6</v>
      </c>
      <c r="AA22" s="54">
        <f>X22+Y22+Z22</f>
        <v/>
      </c>
      <c r="AK22" s="57" t="n">
        <v>11277</v>
      </c>
      <c r="AL22" s="50" t="n"/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3687.284248897663</v>
      </c>
      <c r="C23" s="45" t="n">
        <v>3745.248578845897</v>
      </c>
      <c r="D23" s="95" t="n">
        <v>3761.406127832377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402583</v>
      </c>
      <c r="L23" s="50" t="n">
        <v>406586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166604</v>
      </c>
      <c r="R23" s="56" t="n">
        <v>168057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235979</v>
      </c>
      <c r="X23" s="50" t="n">
        <v>238529</v>
      </c>
      <c r="Y23" s="51">
        <f>M23-S23</f>
        <v/>
      </c>
      <c r="Z23" s="52" t="n">
        <v>55</v>
      </c>
      <c r="AA23" s="54">
        <f>X23+Y23+Z23</f>
        <v/>
      </c>
      <c r="AK23" s="57" t="n">
        <v>402471</v>
      </c>
      <c r="AL23" s="50" t="n"/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888.8949806127496</v>
      </c>
      <c r="C24" s="45" t="n">
        <v>903.5771495346647</v>
      </c>
      <c r="D24" s="95" t="n">
        <v>906.1970746519934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98152</v>
      </c>
      <c r="L24" s="50" t="n">
        <v>99014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38135</v>
      </c>
      <c r="R24" s="56" t="n">
        <v>38420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60017</v>
      </c>
      <c r="X24" s="50" t="n">
        <v>60594</v>
      </c>
      <c r="Y24" s="51">
        <f>M24-S24</f>
        <v/>
      </c>
      <c r="Z24" s="52" t="n">
        <v>19</v>
      </c>
      <c r="AA24" s="54">
        <f>X24+Y24+Z24</f>
        <v/>
      </c>
      <c r="AK24" s="57" t="n">
        <v>98111</v>
      </c>
      <c r="AL24" s="50" t="n"/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1133.178223189368</v>
      </c>
      <c r="C25" s="45" t="n">
        <v>1151.249161387674</v>
      </c>
      <c r="D25" s="95" t="n">
        <v>1154.615336991191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148484</v>
      </c>
      <c r="L25" s="50" t="n">
        <v>149325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40350</v>
      </c>
      <c r="R25" s="56" t="n">
        <v>40673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108134</v>
      </c>
      <c r="X25" s="50" t="n">
        <v>108652</v>
      </c>
      <c r="Y25" s="51">
        <f>M25-S25</f>
        <v/>
      </c>
      <c r="Z25" s="52" t="n">
        <v>20</v>
      </c>
      <c r="AA25" s="54">
        <f>X25+Y25+Z25</f>
        <v/>
      </c>
      <c r="AK25" s="57" t="n">
        <v>148449</v>
      </c>
      <c r="AL25" s="50" t="n"/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9662.575495942623</v>
      </c>
      <c r="C26" s="45" t="n">
        <v>9818.741187400145</v>
      </c>
      <c r="D26" s="95" t="n">
        <v>10006.23644556044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166383</v>
      </c>
      <c r="L26" s="50" t="n">
        <v>167563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152872</v>
      </c>
      <c r="R26" s="56" t="n">
        <v>153917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13511</v>
      </c>
      <c r="X26" s="50" t="n">
        <v>13646</v>
      </c>
      <c r="Y26" s="51">
        <f>M26-S26</f>
        <v/>
      </c>
      <c r="Z26" s="52" t="n">
        <v>9</v>
      </c>
      <c r="AA26" s="54">
        <f>X26+Y26+Z26</f>
        <v/>
      </c>
      <c r="AK26" s="57" t="n">
        <v>166210</v>
      </c>
      <c r="AL26" s="50" t="n"/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4564.949706844195</v>
      </c>
      <c r="C27" s="45" t="n">
        <v>4624.114478920147</v>
      </c>
      <c r="D27" s="95" t="n">
        <v>4643.481822837866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282784</v>
      </c>
      <c r="L27" s="50" t="n">
        <v>285833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145980</v>
      </c>
      <c r="R27" s="56" t="n">
        <v>147640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136804</v>
      </c>
      <c r="X27" s="50" t="n">
        <v>138193</v>
      </c>
      <c r="Y27" s="51">
        <f>M27-S27</f>
        <v/>
      </c>
      <c r="Z27" s="52" t="n">
        <v>60</v>
      </c>
      <c r="AA27" s="54">
        <f>X27+Y27+Z27</f>
        <v/>
      </c>
      <c r="AK27" s="57" t="n">
        <v>282624</v>
      </c>
      <c r="AL27" s="50" t="n"/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1486.602124898692</v>
      </c>
      <c r="C28" s="45" t="n">
        <v>1500.141505684205</v>
      </c>
      <c r="D28" s="95" t="n">
        <v>1508.186609857032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45077</v>
      </c>
      <c r="L28" s="50" t="n">
        <v>45520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27235</v>
      </c>
      <c r="R28" s="56" t="n">
        <v>27442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17842</v>
      </c>
      <c r="X28" s="50" t="n">
        <v>18078</v>
      </c>
      <c r="Y28" s="51">
        <f>M28-S28</f>
        <v/>
      </c>
      <c r="Z28" s="52" t="n">
        <v>6</v>
      </c>
      <c r="AA28" s="54">
        <f>X28+Y28+Z28</f>
        <v/>
      </c>
      <c r="AK28" s="57" t="n">
        <v>45046</v>
      </c>
      <c r="AL28" s="50" t="n"/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49.20119211368618</v>
      </c>
      <c r="C29" s="45" t="n">
        <v>50.09371138459351</v>
      </c>
      <c r="D29" s="95" t="n">
        <v>50.17360033150765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3404</v>
      </c>
      <c r="L29" s="50" t="n">
        <v>3448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1273</v>
      </c>
      <c r="R29" s="56" t="n">
        <v>1285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2131</v>
      </c>
      <c r="X29" s="50" t="n">
        <v>2163</v>
      </c>
      <c r="Y29" s="51">
        <f>M29-S29</f>
        <v/>
      </c>
      <c r="Z29" s="52" t="n">
        <v>1</v>
      </c>
      <c r="AA29" s="54">
        <f>X29+Y29+Z29</f>
        <v/>
      </c>
      <c r="AK29" s="57" t="n">
        <v>3398</v>
      </c>
      <c r="AL29" s="50" t="n"/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888.2079941631475</v>
      </c>
      <c r="C30" s="45" t="n">
        <v>901.963643694236</v>
      </c>
      <c r="D30" s="95" t="n">
        <v>905.8019228919666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84300</v>
      </c>
      <c r="L30" s="50" t="n">
        <v>85156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21702</v>
      </c>
      <c r="R30" s="56" t="n">
        <v>21897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62598</v>
      </c>
      <c r="X30" s="50" t="n">
        <v>63259</v>
      </c>
      <c r="Y30" s="51">
        <f>M30-S30</f>
        <v/>
      </c>
      <c r="Z30" s="52" t="n">
        <v>29</v>
      </c>
      <c r="AA30" s="54">
        <f>X30+Y30+Z30</f>
        <v/>
      </c>
      <c r="AK30" s="57" t="n">
        <v>84267</v>
      </c>
      <c r="AL30" s="50" t="n"/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1747.14179060068</v>
      </c>
      <c r="C31" s="45" t="n">
        <v>1770.710662519105</v>
      </c>
      <c r="D31" s="95" t="n">
        <v>1774.468676509583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168209</v>
      </c>
      <c r="L31" s="50" t="n">
        <v>170254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58241</v>
      </c>
      <c r="R31" s="56" t="n">
        <v>58856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109968</v>
      </c>
      <c r="X31" s="50" t="n">
        <v>111398</v>
      </c>
      <c r="Y31" s="51">
        <f>M31-S31</f>
        <v/>
      </c>
      <c r="Z31" s="52" t="n">
        <v>45</v>
      </c>
      <c r="AA31" s="54">
        <f>X31+Y31+Z31</f>
        <v/>
      </c>
      <c r="AK31" s="57" t="n">
        <v>168133</v>
      </c>
      <c r="AL31" s="50" t="n"/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8752.583149602331</v>
      </c>
      <c r="C32" s="45" t="n">
        <v>8845.785395523741</v>
      </c>
      <c r="D32" s="95" t="n">
        <v>8877.855320144912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341207</v>
      </c>
      <c r="L32" s="50" t="n">
        <v>345577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177728</v>
      </c>
      <c r="R32" s="56" t="n">
        <v>179696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163479</v>
      </c>
      <c r="X32" s="50" t="n">
        <v>165881</v>
      </c>
      <c r="Y32" s="51">
        <f>M32-S32</f>
        <v/>
      </c>
      <c r="Z32" s="52" t="n">
        <v>56</v>
      </c>
      <c r="AA32" s="54">
        <f>X32+Y32+Z32</f>
        <v/>
      </c>
      <c r="AK32" s="57" t="n">
        <v>341050</v>
      </c>
      <c r="AL32" s="50" t="n"/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2140.457600927221</v>
      </c>
      <c r="C33" s="45" t="n">
        <v>2168.066407406954</v>
      </c>
      <c r="D33" s="95" t="n">
        <v>2171.970491490367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103290</v>
      </c>
      <c r="L33" s="50" t="n">
        <v>104647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57108</v>
      </c>
      <c r="R33" s="56" t="n">
        <v>57803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46182</v>
      </c>
      <c r="X33" s="50" t="n">
        <v>46844</v>
      </c>
      <c r="Y33" s="51">
        <f>M33-S33</f>
        <v/>
      </c>
      <c r="Z33" s="52" t="n">
        <v>15</v>
      </c>
      <c r="AA33" s="54">
        <f>X33+Y33+Z33</f>
        <v/>
      </c>
      <c r="AK33" s="57" t="n">
        <v>103234</v>
      </c>
      <c r="AL33" s="50" t="n"/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5059459.112483429</v>
      </c>
      <c r="C34" s="64" t="n">
        <v>5309633.029421424</v>
      </c>
      <c r="D34" s="97" t="n">
        <v>5305984.895455852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50506644</v>
      </c>
      <c r="L34" s="70" t="n">
        <v>51532655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2839722</v>
      </c>
      <c r="R34" s="72" t="n">
        <v>2867467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3814539</v>
      </c>
      <c r="X34" s="70" t="n">
        <v>3858654</v>
      </c>
      <c r="Y34" s="70" t="n">
        <v>240028</v>
      </c>
      <c r="Z34" s="70" t="n">
        <v>1244</v>
      </c>
      <c r="AA34" s="73">
        <f>X34+Y34+Z34</f>
        <v/>
      </c>
      <c r="AB34" s="74" t="n">
        <v>42788233</v>
      </c>
      <c r="AC34" s="75" t="n">
        <v>44806534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6650575</v>
      </c>
      <c r="AL34" s="70" t="n">
        <v>6722423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0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5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0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5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0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5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0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8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38061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2219.457809490601</v>
      </c>
      <c r="C3" s="45" t="n">
        <v>2256.08534729082</v>
      </c>
      <c r="D3" s="95" t="n">
        <v>2254.82004187525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169435</v>
      </c>
      <c r="L3" s="50" t="n">
        <v>171619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77716</v>
      </c>
      <c r="R3" s="56" t="n">
        <v>78807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91719</v>
      </c>
      <c r="X3" s="50" t="n">
        <v>92812</v>
      </c>
      <c r="Y3" s="51">
        <f>M3-S3</f>
        <v/>
      </c>
      <c r="Z3" s="52" t="n">
        <v>36</v>
      </c>
      <c r="AA3" s="54">
        <f>X3+Y3+Z3</f>
        <v/>
      </c>
      <c r="AK3" s="57" t="n">
        <v>169359</v>
      </c>
      <c r="AL3" s="50" t="n">
        <v>171542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102436.1737397738</v>
      </c>
      <c r="C4" s="45" t="n">
        <v>106366.7086179557</v>
      </c>
      <c r="D4" s="95" t="n">
        <v>106308.0190940705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183481</v>
      </c>
      <c r="L4" s="50" t="n">
        <v>185655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175262</v>
      </c>
      <c r="R4" s="56" t="n">
        <v>177322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8219</v>
      </c>
      <c r="X4" s="50" t="n">
        <v>8333</v>
      </c>
      <c r="Y4" s="51">
        <f>M4-S4</f>
        <v/>
      </c>
      <c r="Z4" s="52" t="n">
        <v>6</v>
      </c>
      <c r="AA4" s="54">
        <f>X4+Y4+Z4</f>
        <v/>
      </c>
      <c r="AK4" s="57" t="n">
        <v>183114</v>
      </c>
      <c r="AL4" s="50" t="n">
        <v>185287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2972.894509887649</v>
      </c>
      <c r="C5" s="45" t="n">
        <v>3021.577162259626</v>
      </c>
      <c r="D5" s="95" t="n">
        <v>3024.339470811437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339869</v>
      </c>
      <c r="L5" s="50" t="n">
        <v>343286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102820</v>
      </c>
      <c r="R5" s="56" t="n">
        <v>104013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237049</v>
      </c>
      <c r="X5" s="50" t="n">
        <v>239273</v>
      </c>
      <c r="Y5" s="51">
        <f>M5-S5</f>
        <v/>
      </c>
      <c r="Z5" s="52" t="n">
        <v>38</v>
      </c>
      <c r="AA5" s="54">
        <f>X5+Y5+Z5</f>
        <v/>
      </c>
      <c r="AK5" s="57" t="n">
        <v>339750</v>
      </c>
      <c r="AL5" s="50" t="n">
        <v>343167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482.5972056468457</v>
      </c>
      <c r="C6" s="45" t="n">
        <v>492.3771101590755</v>
      </c>
      <c r="D6" s="95" t="n">
        <v>494.4248614593004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56381</v>
      </c>
      <c r="L6" s="56" t="n">
        <v>56910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21862</v>
      </c>
      <c r="R6" s="56" t="n">
        <v>22109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34519</v>
      </c>
      <c r="X6" s="50" t="n">
        <v>34801</v>
      </c>
      <c r="Y6" s="51">
        <f>M6-S6</f>
        <v/>
      </c>
      <c r="Z6" s="52" t="n">
        <v>4</v>
      </c>
      <c r="AA6" s="54">
        <f>X6+Y6+Z6</f>
        <v/>
      </c>
      <c r="AK6" s="61" t="n">
        <v>56364</v>
      </c>
      <c r="AL6" s="56" t="n">
        <v>56893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14818.10442615453</v>
      </c>
      <c r="C7" s="45" t="n">
        <v>15085.84280813934</v>
      </c>
      <c r="D7" s="95" t="n">
        <v>15075.68553106041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797462</v>
      </c>
      <c r="L7" s="50" t="n">
        <v>810129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420504</v>
      </c>
      <c r="R7" s="56" t="n">
        <v>427106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376958</v>
      </c>
      <c r="X7" s="50" t="n">
        <v>383023</v>
      </c>
      <c r="Y7" s="51">
        <f>M7-S7</f>
        <v/>
      </c>
      <c r="Z7" s="52" t="n">
        <v>96</v>
      </c>
      <c r="AA7" s="54">
        <f>X7+Y7+Z7</f>
        <v/>
      </c>
      <c r="AK7" s="57" t="n">
        <v>797012</v>
      </c>
      <c r="AL7" s="50" t="n">
        <v>809678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1742.929392792513</v>
      </c>
      <c r="C8" s="45" t="n">
        <v>1777.983878358051</v>
      </c>
      <c r="D8" s="95" t="n">
        <v>1773.371003847722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137760</v>
      </c>
      <c r="L8" s="50" t="n">
        <v>139630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56402</v>
      </c>
      <c r="R8" s="56" t="n">
        <v>57168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81358</v>
      </c>
      <c r="X8" s="50" t="n">
        <v>82462</v>
      </c>
      <c r="Y8" s="51">
        <f>M8-S8</f>
        <v/>
      </c>
      <c r="Z8" s="52" t="n">
        <v>23</v>
      </c>
      <c r="AA8" s="54">
        <f>X8+Y8+Z8</f>
        <v/>
      </c>
      <c r="AK8" s="57" t="n">
        <v>137693</v>
      </c>
      <c r="AL8" s="50" t="n">
        <v>139563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2663.452957358469</v>
      </c>
      <c r="C9" s="45" t="n">
        <v>2680.032417145844</v>
      </c>
      <c r="D9" s="95" t="n">
        <v>2681.769702908417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94556</v>
      </c>
      <c r="L9" s="50" t="n">
        <v>96047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42176</v>
      </c>
      <c r="R9" s="56" t="n">
        <v>42741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52380</v>
      </c>
      <c r="X9" s="50" t="n">
        <v>53306</v>
      </c>
      <c r="Y9" s="51">
        <f>M9-S9</f>
        <v/>
      </c>
      <c r="Z9" s="52" t="n">
        <v>27</v>
      </c>
      <c r="AA9" s="54">
        <f>X9+Y9+Z9</f>
        <v/>
      </c>
      <c r="AK9" s="57" t="n">
        <v>94518</v>
      </c>
      <c r="AL9" s="50" t="n">
        <v>96008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2945.113371538162</v>
      </c>
      <c r="C10" s="45" t="n">
        <v>2988.83326624576</v>
      </c>
      <c r="D10" s="95" t="n">
        <v>2989.893744262614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226389</v>
      </c>
      <c r="L10" s="50" t="n">
        <v>227991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39808</v>
      </c>
      <c r="R10" s="56" t="n">
        <v>40304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186581</v>
      </c>
      <c r="X10" s="50" t="n">
        <v>187687</v>
      </c>
      <c r="Y10" s="51">
        <f>M10-S10</f>
        <v/>
      </c>
      <c r="Z10" s="52" t="n">
        <v>44</v>
      </c>
      <c r="AA10" s="54">
        <f>X10+Y10+Z10</f>
        <v/>
      </c>
      <c r="AK10" s="57" t="n">
        <v>226366</v>
      </c>
      <c r="AL10" s="50" t="n">
        <v>227968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1708.518220238051</v>
      </c>
      <c r="C11" s="45" t="n">
        <v>1744.824843444185</v>
      </c>
      <c r="D11" s="95" t="n">
        <v>1746.36910096682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201396</v>
      </c>
      <c r="L11" s="50" t="n">
        <v>204062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74553</v>
      </c>
      <c r="R11" s="56" t="n">
        <v>75717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126843</v>
      </c>
      <c r="X11" s="50" t="n">
        <v>128345</v>
      </c>
      <c r="Y11" s="51">
        <f>M11-S11</f>
        <v/>
      </c>
      <c r="Z11" s="52" t="n">
        <v>53</v>
      </c>
      <c r="AA11" s="54">
        <f>X11+Y11+Z11</f>
        <v/>
      </c>
      <c r="AK11" s="57" t="n">
        <v>201317</v>
      </c>
      <c r="AL11" s="50" t="n">
        <v>203982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3104.214108068035</v>
      </c>
      <c r="C12" s="45" t="n">
        <v>3173.923937282811</v>
      </c>
      <c r="D12" s="95" t="n">
        <v>3170.257745203574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306516</v>
      </c>
      <c r="L12" s="50" t="n">
        <v>312587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119834</v>
      </c>
      <c r="R12" s="56" t="n">
        <v>121587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186682</v>
      </c>
      <c r="X12" s="50" t="n">
        <v>191000</v>
      </c>
      <c r="Y12" s="51">
        <f>M12-S12</f>
        <v/>
      </c>
      <c r="Z12" s="52" t="n">
        <v>64</v>
      </c>
      <c r="AA12" s="54">
        <f>X12+Y12+Z12</f>
        <v/>
      </c>
      <c r="AK12" s="57" t="n">
        <v>306371</v>
      </c>
      <c r="AL12" s="50" t="n">
        <v>312442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892.7088752695413</v>
      </c>
      <c r="C13" s="45" t="n">
        <v>908.1909143072741</v>
      </c>
      <c r="D13" s="95" t="n">
        <v>913.6827437568761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78722</v>
      </c>
      <c r="L13" s="50" t="n">
        <v>79830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21894</v>
      </c>
      <c r="R13" s="56" t="n">
        <v>22160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56828</v>
      </c>
      <c r="X13" s="50" t="n">
        <v>57670</v>
      </c>
      <c r="Y13" s="51">
        <f>M13-S13</f>
        <v/>
      </c>
      <c r="Z13" s="52" t="n">
        <v>36</v>
      </c>
      <c r="AA13" s="54">
        <f>X13+Y13+Z13</f>
        <v/>
      </c>
      <c r="AK13" s="57" t="n">
        <v>78687</v>
      </c>
      <c r="AL13" s="50" t="n">
        <v>79797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3815.940570550623</v>
      </c>
      <c r="C14" s="45" t="n">
        <v>3874.2831978733</v>
      </c>
      <c r="D14" s="95" t="n">
        <v>3885.692383700176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262368</v>
      </c>
      <c r="L14" s="50" t="n">
        <v>266370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91938</v>
      </c>
      <c r="R14" s="56" t="n">
        <v>93448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170430</v>
      </c>
      <c r="X14" s="50" t="n">
        <v>172922</v>
      </c>
      <c r="Y14" s="51">
        <f>M14-S14</f>
        <v/>
      </c>
      <c r="Z14" s="52" t="n">
        <v>50</v>
      </c>
      <c r="AA14" s="54">
        <f>X14+Y14+Z14</f>
        <v/>
      </c>
      <c r="AK14" s="57" t="n">
        <v>262254</v>
      </c>
      <c r="AL14" s="50" t="n">
        <v>266255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2952.500194140771</v>
      </c>
      <c r="C15" s="45" t="n">
        <v>3011.747055461547</v>
      </c>
      <c r="D15" s="95" t="n">
        <v>3011.907387342416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253810</v>
      </c>
      <c r="L15" s="50" t="n">
        <v>258354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85316</v>
      </c>
      <c r="R15" s="56" t="n">
        <v>86461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168494</v>
      </c>
      <c r="X15" s="50" t="n">
        <v>171893</v>
      </c>
      <c r="Y15" s="51">
        <f>M15-S15</f>
        <v/>
      </c>
      <c r="Z15" s="52" t="n">
        <v>53</v>
      </c>
      <c r="AA15" s="54">
        <f>X15+Y15+Z15</f>
        <v/>
      </c>
      <c r="AK15" s="57" t="n">
        <v>253693</v>
      </c>
      <c r="AL15" s="50" t="n">
        <v>258236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520.640486755071</v>
      </c>
      <c r="C16" s="45" t="n">
        <v>530.1301513268039</v>
      </c>
      <c r="D16" s="95" t="n">
        <v>530.9639080371351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72093</v>
      </c>
      <c r="L16" s="50" t="n">
        <v>72928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20438</v>
      </c>
      <c r="R16" s="56" t="n">
        <v>20697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51655</v>
      </c>
      <c r="X16" s="50" t="n">
        <v>52231</v>
      </c>
      <c r="Y16" s="51">
        <f>M16-S16</f>
        <v/>
      </c>
      <c r="Z16" s="52" t="n">
        <v>11</v>
      </c>
      <c r="AA16" s="54">
        <f>X16+Y16+Z16</f>
        <v/>
      </c>
      <c r="AK16" s="57" t="n">
        <v>72072</v>
      </c>
      <c r="AL16" s="50" t="n">
        <v>72906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4876.753021423988</v>
      </c>
      <c r="C17" s="45" t="n">
        <v>4960.181110772975</v>
      </c>
      <c r="D17" s="95" t="n">
        <v>4958.803458242842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309184</v>
      </c>
      <c r="L17" s="50" t="n">
        <v>313035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153559</v>
      </c>
      <c r="R17" s="56" t="n">
        <v>155639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155625</v>
      </c>
      <c r="X17" s="50" t="n">
        <v>157396</v>
      </c>
      <c r="Y17" s="51">
        <f>M17-S17</f>
        <v/>
      </c>
      <c r="Z17" s="52" t="n">
        <v>147</v>
      </c>
      <c r="AA17" s="54">
        <f>X17+Y17+Z17</f>
        <v/>
      </c>
      <c r="AK17" s="57" t="n">
        <v>309049</v>
      </c>
      <c r="AL17" s="50" t="n">
        <v>312899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1625.997417496433</v>
      </c>
      <c r="C18" s="45" t="n">
        <v>1647.406928762369</v>
      </c>
      <c r="D18" s="95" t="n">
        <v>1649.775563372141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283265</v>
      </c>
      <c r="L18" s="50" t="n">
        <v>284745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38178</v>
      </c>
      <c r="R18" s="56" t="n">
        <v>38762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245087</v>
      </c>
      <c r="X18" s="50" t="n">
        <v>245983</v>
      </c>
      <c r="Y18" s="51">
        <f>M18-S18</f>
        <v/>
      </c>
      <c r="Z18" s="52" t="n">
        <v>28</v>
      </c>
      <c r="AA18" s="54">
        <f>X18+Y18+Z18</f>
        <v/>
      </c>
      <c r="AK18" s="57" t="n">
        <v>283157</v>
      </c>
      <c r="AL18" s="50" t="n">
        <v>284636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1631.372499699316</v>
      </c>
      <c r="C19" s="45" t="n">
        <v>1657.045031256897</v>
      </c>
      <c r="D19" s="95" t="n">
        <v>1663.974427357873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125285</v>
      </c>
      <c r="L19" s="50" t="n">
        <v>127938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43282</v>
      </c>
      <c r="R19" s="56" t="n">
        <v>43948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82003</v>
      </c>
      <c r="X19" s="50" t="n">
        <v>83990</v>
      </c>
      <c r="Y19" s="51">
        <f>M19-S19</f>
        <v/>
      </c>
      <c r="Z19" s="52" t="n">
        <v>60</v>
      </c>
      <c r="AA19" s="54">
        <f>X19+Y19+Z19</f>
        <v/>
      </c>
      <c r="AK19" s="57" t="n">
        <v>125211</v>
      </c>
      <c r="AL19" s="50" t="n">
        <v>127864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645.0200704392565</v>
      </c>
      <c r="C20" s="45" t="n">
        <v>658.2760085618014</v>
      </c>
      <c r="D20" s="95" t="n">
        <v>659.1516562196925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76223</v>
      </c>
      <c r="L20" s="50" t="n">
        <v>77199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22815</v>
      </c>
      <c r="R20" s="56" t="n">
        <v>23104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53408</v>
      </c>
      <c r="X20" s="50" t="n">
        <v>54095</v>
      </c>
      <c r="Y20" s="51">
        <f>M20-S20</f>
        <v/>
      </c>
      <c r="Z20" s="52" t="n">
        <v>24</v>
      </c>
      <c r="AA20" s="54">
        <f>X20+Y20+Z20</f>
        <v/>
      </c>
      <c r="AK20" s="57" t="n">
        <v>76170</v>
      </c>
      <c r="AL20" s="50" t="n">
        <v>77146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231.741958913078</v>
      </c>
      <c r="C21" s="45" t="n">
        <v>237.2474381555497</v>
      </c>
      <c r="D21" s="95" t="n">
        <v>238.4077444994406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22566</v>
      </c>
      <c r="L21" s="56" t="n">
        <v>22830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9386</v>
      </c>
      <c r="R21" s="56" t="n">
        <v>9495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13180</v>
      </c>
      <c r="X21" s="50" t="n">
        <v>13335</v>
      </c>
      <c r="Y21" s="51">
        <f>M21-S21</f>
        <v/>
      </c>
      <c r="Z21" s="52" t="n">
        <v>25</v>
      </c>
      <c r="AA21" s="54">
        <f>X21+Y21+Z21</f>
        <v/>
      </c>
      <c r="AK21" s="61" t="n">
        <v>22553</v>
      </c>
      <c r="AL21" s="56" t="n">
        <v>22817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126.4277735828403</v>
      </c>
      <c r="C22" s="45" t="n">
        <v>129.0404781729278</v>
      </c>
      <c r="D22" s="95" t="n">
        <v>130.2647088824614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11161</v>
      </c>
      <c r="L22" s="50" t="n">
        <v>11294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4286</v>
      </c>
      <c r="R22" s="56" t="n">
        <v>4346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6875</v>
      </c>
      <c r="X22" s="50" t="n">
        <v>6948</v>
      </c>
      <c r="Y22" s="51">
        <f>M22-S22</f>
        <v/>
      </c>
      <c r="Z22" s="52" t="n">
        <v>6</v>
      </c>
      <c r="AA22" s="54">
        <f>X22+Y22+Z22</f>
        <v/>
      </c>
      <c r="AK22" s="57" t="n">
        <v>11144</v>
      </c>
      <c r="AL22" s="50" t="n">
        <v>11277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3613.16236996295</v>
      </c>
      <c r="C23" s="45" t="n">
        <v>3687.284248897663</v>
      </c>
      <c r="D23" s="95" t="n">
        <v>3688.516617461145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398398</v>
      </c>
      <c r="L23" s="50" t="n">
        <v>402583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164543</v>
      </c>
      <c r="R23" s="56" t="n">
        <v>166604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233855</v>
      </c>
      <c r="X23" s="50" t="n">
        <v>235979</v>
      </c>
      <c r="Y23" s="51">
        <f>M23-S23</f>
        <v/>
      </c>
      <c r="Z23" s="52" t="n">
        <v>55</v>
      </c>
      <c r="AA23" s="54">
        <f>X23+Y23+Z23</f>
        <v/>
      </c>
      <c r="AK23" s="57" t="n">
        <v>398287</v>
      </c>
      <c r="AL23" s="50" t="n">
        <v>402471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871.5928865735058</v>
      </c>
      <c r="C24" s="45" t="n">
        <v>888.8949806127496</v>
      </c>
      <c r="D24" s="95" t="n">
        <v>891.5189561990708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97029</v>
      </c>
      <c r="L24" s="50" t="n">
        <v>98152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37693</v>
      </c>
      <c r="R24" s="56" t="n">
        <v>38135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59336</v>
      </c>
      <c r="X24" s="50" t="n">
        <v>60017</v>
      </c>
      <c r="Y24" s="51">
        <f>M24-S24</f>
        <v/>
      </c>
      <c r="Z24" s="52" t="n">
        <v>19</v>
      </c>
      <c r="AA24" s="54">
        <f>X24+Y24+Z24</f>
        <v/>
      </c>
      <c r="AK24" s="57" t="n">
        <v>96988</v>
      </c>
      <c r="AL24" s="50" t="n">
        <v>98111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1111.741109387545</v>
      </c>
      <c r="C25" s="45" t="n">
        <v>1133.178223189368</v>
      </c>
      <c r="D25" s="95" t="n">
        <v>1134.316365183909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147252</v>
      </c>
      <c r="L25" s="50" t="n">
        <v>148484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39830</v>
      </c>
      <c r="R25" s="56" t="n">
        <v>40350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107422</v>
      </c>
      <c r="X25" s="50" t="n">
        <v>108134</v>
      </c>
      <c r="Y25" s="51">
        <f>M25-S25</f>
        <v/>
      </c>
      <c r="Z25" s="52" t="n">
        <v>20</v>
      </c>
      <c r="AA25" s="54">
        <f>X25+Y25+Z25</f>
        <v/>
      </c>
      <c r="AK25" s="57" t="n">
        <v>147217</v>
      </c>
      <c r="AL25" s="50" t="n">
        <v>148449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9318.914546324804</v>
      </c>
      <c r="C26" s="45" t="n">
        <v>9662.575495942623</v>
      </c>
      <c r="D26" s="95" t="n">
        <v>9593.976711786618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164334</v>
      </c>
      <c r="L26" s="50" t="n">
        <v>166383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151002</v>
      </c>
      <c r="R26" s="56" t="n">
        <v>152872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13332</v>
      </c>
      <c r="X26" s="50" t="n">
        <v>13511</v>
      </c>
      <c r="Y26" s="51">
        <f>M26-S26</f>
        <v/>
      </c>
      <c r="Z26" s="52" t="n">
        <v>9</v>
      </c>
      <c r="AA26" s="54">
        <f>X26+Y26+Z26</f>
        <v/>
      </c>
      <c r="AK26" s="57" t="n">
        <v>164163</v>
      </c>
      <c r="AL26" s="50" t="n">
        <v>166210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4486.417590850524</v>
      </c>
      <c r="C27" s="45" t="n">
        <v>4564.949706844195</v>
      </c>
      <c r="D27" s="95" t="n">
        <v>4560.775721840379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279318</v>
      </c>
      <c r="L27" s="50" t="n">
        <v>282784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143959</v>
      </c>
      <c r="R27" s="56" t="n">
        <v>145980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135359</v>
      </c>
      <c r="X27" s="50" t="n">
        <v>136804</v>
      </c>
      <c r="Y27" s="51">
        <f>M27-S27</f>
        <v/>
      </c>
      <c r="Z27" s="52" t="n">
        <v>60</v>
      </c>
      <c r="AA27" s="54">
        <f>X27+Y27+Z27</f>
        <v/>
      </c>
      <c r="AK27" s="57" t="n">
        <v>279158</v>
      </c>
      <c r="AL27" s="50" t="n">
        <v>282624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1465.017639940352</v>
      </c>
      <c r="C28" s="45" t="n">
        <v>1486.602124898692</v>
      </c>
      <c r="D28" s="95" t="n">
        <v>1484.392038775871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44453</v>
      </c>
      <c r="L28" s="50" t="n">
        <v>45077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26885</v>
      </c>
      <c r="R28" s="56" t="n">
        <v>27235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17568</v>
      </c>
      <c r="X28" s="50" t="n">
        <v>17842</v>
      </c>
      <c r="Y28" s="51">
        <f>M28-S28</f>
        <v/>
      </c>
      <c r="Z28" s="52" t="n">
        <v>6</v>
      </c>
      <c r="AA28" s="54">
        <f>X28+Y28+Z28</f>
        <v/>
      </c>
      <c r="AK28" s="57" t="n">
        <v>44422</v>
      </c>
      <c r="AL28" s="50" t="n">
        <v>45046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48.2287838958647</v>
      </c>
      <c r="C29" s="45" t="n">
        <v>49.20119211368618</v>
      </c>
      <c r="D29" s="95" t="n">
        <v>49.45813031481816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3364</v>
      </c>
      <c r="L29" s="50" t="n">
        <v>3404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1258</v>
      </c>
      <c r="R29" s="56" t="n">
        <v>1273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2106</v>
      </c>
      <c r="X29" s="50" t="n">
        <v>2131</v>
      </c>
      <c r="Y29" s="51">
        <f>M29-S29</f>
        <v/>
      </c>
      <c r="Z29" s="52" t="n">
        <v>1</v>
      </c>
      <c r="AA29" s="54">
        <f>X29+Y29+Z29</f>
        <v/>
      </c>
      <c r="AK29" s="57" t="n">
        <v>3358</v>
      </c>
      <c r="AL29" s="50" t="n">
        <v>3398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870.6140654343285</v>
      </c>
      <c r="C30" s="45" t="n">
        <v>888.2079941631475</v>
      </c>
      <c r="D30" s="95" t="n">
        <v>892.5246253431434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83234</v>
      </c>
      <c r="L30" s="50" t="n">
        <v>84300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21383</v>
      </c>
      <c r="R30" s="56" t="n">
        <v>21702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61851</v>
      </c>
      <c r="X30" s="50" t="n">
        <v>62598</v>
      </c>
      <c r="Y30" s="51">
        <f>M30-S30</f>
        <v/>
      </c>
      <c r="Z30" s="52" t="n">
        <v>29</v>
      </c>
      <c r="AA30" s="54">
        <f>X30+Y30+Z30</f>
        <v/>
      </c>
      <c r="AK30" s="57" t="n">
        <v>83201</v>
      </c>
      <c r="AL30" s="50" t="n">
        <v>84267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1719.814904691777</v>
      </c>
      <c r="C31" s="45" t="n">
        <v>1747.14179060068</v>
      </c>
      <c r="D31" s="95" t="n">
        <v>1754.476256899263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165866</v>
      </c>
      <c r="L31" s="50" t="n">
        <v>168209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57492</v>
      </c>
      <c r="R31" s="56" t="n">
        <v>58241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108374</v>
      </c>
      <c r="X31" s="50" t="n">
        <v>109968</v>
      </c>
      <c r="Y31" s="51">
        <f>M31-S31</f>
        <v/>
      </c>
      <c r="Z31" s="52" t="n">
        <v>45</v>
      </c>
      <c r="AA31" s="54">
        <f>X31+Y31+Z31</f>
        <v/>
      </c>
      <c r="AK31" s="57" t="n">
        <v>165790</v>
      </c>
      <c r="AL31" s="50" t="n">
        <v>168133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8627.31097905975</v>
      </c>
      <c r="C32" s="45" t="n">
        <v>8752.583149602331</v>
      </c>
      <c r="D32" s="95" t="n">
        <v>8755.222208118634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336347</v>
      </c>
      <c r="L32" s="50" t="n">
        <v>341207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175053</v>
      </c>
      <c r="R32" s="56" t="n">
        <v>177728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161294</v>
      </c>
      <c r="X32" s="50" t="n">
        <v>163479</v>
      </c>
      <c r="Y32" s="51">
        <f>M32-S32</f>
        <v/>
      </c>
      <c r="Z32" s="52" t="n">
        <v>56</v>
      </c>
      <c r="AA32" s="54">
        <f>X32+Y32+Z32</f>
        <v/>
      </c>
      <c r="AK32" s="57" t="n">
        <v>336190</v>
      </c>
      <c r="AL32" s="50" t="n">
        <v>341050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2108.944710364075</v>
      </c>
      <c r="C33" s="45" t="n">
        <v>2140.457600927221</v>
      </c>
      <c r="D33" s="95" t="n">
        <v>2141.046030752081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101693</v>
      </c>
      <c r="L33" s="50" t="n">
        <v>103290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56269</v>
      </c>
      <c r="R33" s="56" t="n">
        <v>57108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45424</v>
      </c>
      <c r="X33" s="50" t="n">
        <v>46182</v>
      </c>
      <c r="Y33" s="51">
        <f>M33-S33</f>
        <v/>
      </c>
      <c r="Z33" s="52" t="n">
        <v>15</v>
      </c>
      <c r="AA33" s="54">
        <f>X33+Y33+Z33</f>
        <v/>
      </c>
      <c r="AK33" s="57" t="n">
        <v>101637</v>
      </c>
      <c r="AL33" s="50" t="n">
        <v>103234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4812933.329511005</v>
      </c>
      <c r="C34" s="64" t="n">
        <v>5059459.112483429</v>
      </c>
      <c r="D34" s="97" t="n">
        <v>5055286.008223373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49358225</v>
      </c>
      <c r="L34" s="70" t="n">
        <v>50506644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2801466</v>
      </c>
      <c r="R34" s="72" t="n">
        <v>2839722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3768526</v>
      </c>
      <c r="X34" s="70" t="n">
        <v>3814539</v>
      </c>
      <c r="Y34" s="70" t="n">
        <v>240028</v>
      </c>
      <c r="Z34" s="70" t="n">
        <v>1244</v>
      </c>
      <c r="AA34" s="73">
        <f>X34+Y34+Z34</f>
        <v/>
      </c>
      <c r="AB34" s="74" t="n">
        <v>42788233</v>
      </c>
      <c r="AC34" s="75" t="n">
        <v>43852383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6566317</v>
      </c>
      <c r="AL34" s="70" t="n">
        <v>6650575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394.3730511068524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5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5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5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8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37832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2184.095577105951</v>
      </c>
      <c r="C3" s="45" t="n">
        <v>2219.457809490601</v>
      </c>
      <c r="D3" s="95" t="n">
        <v>2219.36344773582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167278</v>
      </c>
      <c r="L3" s="50" t="n">
        <v>169435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76612</v>
      </c>
      <c r="R3" s="56" t="n">
        <v>77716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90666</v>
      </c>
      <c r="X3" s="50" t="n">
        <v>91719</v>
      </c>
      <c r="Y3" s="51">
        <f>M3-S3</f>
        <v/>
      </c>
      <c r="Z3" s="52" t="n">
        <v>36</v>
      </c>
      <c r="AA3" s="54">
        <f>X3+Y3+Z3</f>
        <v/>
      </c>
      <c r="AK3" s="57" t="n">
        <v>167203</v>
      </c>
      <c r="AL3" s="50" t="n">
        <v>169359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98564.32838547707</v>
      </c>
      <c r="C4" s="45" t="n">
        <v>102436.1737397738</v>
      </c>
      <c r="D4" s="95" t="n">
        <v>102272.1442316383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181256</v>
      </c>
      <c r="L4" s="50" t="n">
        <v>183481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173159</v>
      </c>
      <c r="R4" s="56" t="n">
        <v>175262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8097</v>
      </c>
      <c r="X4" s="50" t="n">
        <v>8219</v>
      </c>
      <c r="Y4" s="51">
        <f>M4-S4</f>
        <v/>
      </c>
      <c r="Z4" s="52" t="n">
        <v>6</v>
      </c>
      <c r="AA4" s="54">
        <f>X4+Y4+Z4</f>
        <v/>
      </c>
      <c r="AK4" s="57" t="n">
        <v>180890</v>
      </c>
      <c r="AL4" s="50" t="n">
        <v>183114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2921.449548963862</v>
      </c>
      <c r="C5" s="45" t="n">
        <v>2972.894509887649</v>
      </c>
      <c r="D5" s="95" t="n">
        <v>2969.347093300881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336445</v>
      </c>
      <c r="L5" s="50" t="n">
        <v>339869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101652</v>
      </c>
      <c r="R5" s="56" t="n">
        <v>102820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234793</v>
      </c>
      <c r="X5" s="50" t="n">
        <v>237049</v>
      </c>
      <c r="Y5" s="51">
        <f>M5-S5</f>
        <v/>
      </c>
      <c r="Z5" s="52" t="n">
        <v>38</v>
      </c>
      <c r="AA5" s="54">
        <f>X5+Y5+Z5</f>
        <v/>
      </c>
      <c r="AK5" s="57" t="n">
        <v>336326</v>
      </c>
      <c r="AL5" s="50" t="n">
        <v>339750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470.769549834391</v>
      </c>
      <c r="C6" s="45" t="n">
        <v>482.5972056468457</v>
      </c>
      <c r="D6" s="95" t="n">
        <v>480.9553351230315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55787</v>
      </c>
      <c r="L6" s="56" t="n">
        <v>56381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21579</v>
      </c>
      <c r="R6" s="56" t="n">
        <v>21862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34208</v>
      </c>
      <c r="X6" s="50" t="n">
        <v>34519</v>
      </c>
      <c r="Y6" s="51">
        <f>M6-S6</f>
        <v/>
      </c>
      <c r="Z6" s="52" t="n">
        <v>4</v>
      </c>
      <c r="AA6" s="54">
        <f>X6+Y6+Z6</f>
        <v/>
      </c>
      <c r="AK6" s="61" t="n">
        <v>55769</v>
      </c>
      <c r="AL6" s="56" t="n">
        <v>56364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14560.52332124865</v>
      </c>
      <c r="C7" s="45" t="n">
        <v>14818.10442615453</v>
      </c>
      <c r="D7" s="95" t="n">
        <v>14810.46475631986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785303</v>
      </c>
      <c r="L7" s="50" t="n">
        <v>797462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413568</v>
      </c>
      <c r="R7" s="56" t="n">
        <v>420504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371735</v>
      </c>
      <c r="X7" s="50" t="n">
        <v>376958</v>
      </c>
      <c r="Y7" s="51">
        <f>M7-S7</f>
        <v/>
      </c>
      <c r="Z7" s="52" t="n">
        <v>96</v>
      </c>
      <c r="AA7" s="54">
        <f>X7+Y7+Z7</f>
        <v/>
      </c>
      <c r="AK7" s="57" t="n">
        <v>784854</v>
      </c>
      <c r="AL7" s="50" t="n">
        <v>797012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1712.487781737304</v>
      </c>
      <c r="C8" s="45" t="n">
        <v>1742.929392792513</v>
      </c>
      <c r="D8" s="95" t="n">
        <v>1740.676988203957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135983</v>
      </c>
      <c r="L8" s="50" t="n">
        <v>137760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55666</v>
      </c>
      <c r="R8" s="56" t="n">
        <v>56402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80317</v>
      </c>
      <c r="X8" s="50" t="n">
        <v>81358</v>
      </c>
      <c r="Y8" s="51">
        <f>M8-S8</f>
        <v/>
      </c>
      <c r="Z8" s="52" t="n">
        <v>23</v>
      </c>
      <c r="AA8" s="54">
        <f>X8+Y8+Z8</f>
        <v/>
      </c>
      <c r="AK8" s="57" t="n">
        <v>135916</v>
      </c>
      <c r="AL8" s="50" t="n">
        <v>137693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2645.13621180852</v>
      </c>
      <c r="C9" s="45" t="n">
        <v>2663.452957358469</v>
      </c>
      <c r="D9" s="95" t="n">
        <v>2661.959891109933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93155</v>
      </c>
      <c r="L9" s="50" t="n">
        <v>94556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41587</v>
      </c>
      <c r="R9" s="56" t="n">
        <v>42176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51568</v>
      </c>
      <c r="X9" s="50" t="n">
        <v>52380</v>
      </c>
      <c r="Y9" s="51">
        <f>M9-S9</f>
        <v/>
      </c>
      <c r="Z9" s="52" t="n">
        <v>27</v>
      </c>
      <c r="AA9" s="54">
        <f>X9+Y9+Z9</f>
        <v/>
      </c>
      <c r="AK9" s="57" t="n">
        <v>93117</v>
      </c>
      <c r="AL9" s="50" t="n">
        <v>94518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2900.332998813709</v>
      </c>
      <c r="C10" s="45" t="n">
        <v>2945.113371538162</v>
      </c>
      <c r="D10" s="95" t="n">
        <v>2947.300295745908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224882</v>
      </c>
      <c r="L10" s="50" t="n">
        <v>226389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39264</v>
      </c>
      <c r="R10" s="56" t="n">
        <v>39808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185618</v>
      </c>
      <c r="X10" s="50" t="n">
        <v>186581</v>
      </c>
      <c r="Y10" s="51">
        <f>M10-S10</f>
        <v/>
      </c>
      <c r="Z10" s="52" t="n">
        <v>44</v>
      </c>
      <c r="AA10" s="54">
        <f>X10+Y10+Z10</f>
        <v/>
      </c>
      <c r="AK10" s="57" t="n">
        <v>224859</v>
      </c>
      <c r="AL10" s="50" t="n">
        <v>226366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1670.667339509283</v>
      </c>
      <c r="C11" s="45" t="n">
        <v>1708.518220238051</v>
      </c>
      <c r="D11" s="95" t="n">
        <v>1704.765077638415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198826</v>
      </c>
      <c r="L11" s="50" t="n">
        <v>201396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73471</v>
      </c>
      <c r="R11" s="56" t="n">
        <v>74553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125355</v>
      </c>
      <c r="X11" s="50" t="n">
        <v>126843</v>
      </c>
      <c r="Y11" s="51">
        <f>M11-S11</f>
        <v/>
      </c>
      <c r="Z11" s="52" t="n">
        <v>53</v>
      </c>
      <c r="AA11" s="54">
        <f>X11+Y11+Z11</f>
        <v/>
      </c>
      <c r="AK11" s="57" t="n">
        <v>198749</v>
      </c>
      <c r="AL11" s="50" t="n">
        <v>201317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3038.170470932497</v>
      </c>
      <c r="C12" s="45" t="n">
        <v>3104.214108068035</v>
      </c>
      <c r="D12" s="95" t="n">
        <v>3090.418602509778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301283</v>
      </c>
      <c r="L12" s="50" t="n">
        <v>306516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118391</v>
      </c>
      <c r="R12" s="56" t="n">
        <v>119834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182892</v>
      </c>
      <c r="X12" s="50" t="n">
        <v>186682</v>
      </c>
      <c r="Y12" s="51">
        <f>M12-S12</f>
        <v/>
      </c>
      <c r="Z12" s="52" t="n">
        <v>64</v>
      </c>
      <c r="AA12" s="54">
        <f>X12+Y12+Z12</f>
        <v/>
      </c>
      <c r="AK12" s="57" t="n">
        <v>301138</v>
      </c>
      <c r="AL12" s="50" t="n">
        <v>306371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871.7350067822065</v>
      </c>
      <c r="C13" s="45" t="n">
        <v>892.7088752695413</v>
      </c>
      <c r="D13" s="95" t="n">
        <v>889.6786317669853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77482</v>
      </c>
      <c r="L13" s="50" t="n">
        <v>78722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21610</v>
      </c>
      <c r="R13" s="56" t="n">
        <v>21894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55872</v>
      </c>
      <c r="X13" s="50" t="n">
        <v>56828</v>
      </c>
      <c r="Y13" s="51">
        <f>M13-S13</f>
        <v/>
      </c>
      <c r="Z13" s="52" t="n">
        <v>36</v>
      </c>
      <c r="AA13" s="54">
        <f>X13+Y13+Z13</f>
        <v/>
      </c>
      <c r="AK13" s="57" t="n">
        <v>77447</v>
      </c>
      <c r="AL13" s="50" t="n">
        <v>78687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3746.18875740107</v>
      </c>
      <c r="C14" s="45" t="n">
        <v>3815.940570550623</v>
      </c>
      <c r="D14" s="95" t="n">
        <v>3809.993687795493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258854</v>
      </c>
      <c r="L14" s="50" t="n">
        <v>262368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90525</v>
      </c>
      <c r="R14" s="56" t="n">
        <v>91938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168329</v>
      </c>
      <c r="X14" s="50" t="n">
        <v>170430</v>
      </c>
      <c r="Y14" s="51">
        <f>M14-S14</f>
        <v/>
      </c>
      <c r="Z14" s="52" t="n">
        <v>50</v>
      </c>
      <c r="AA14" s="54">
        <f>X14+Y14+Z14</f>
        <v/>
      </c>
      <c r="AK14" s="57" t="n">
        <v>258744</v>
      </c>
      <c r="AL14" s="50" t="n">
        <v>262254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2893.093000939126</v>
      </c>
      <c r="C15" s="45" t="n">
        <v>2952.500194140771</v>
      </c>
      <c r="D15" s="95" t="n">
        <v>2950.897000389838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249793</v>
      </c>
      <c r="L15" s="50" t="n">
        <v>253810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84018</v>
      </c>
      <c r="R15" s="56" t="n">
        <v>85316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165775</v>
      </c>
      <c r="X15" s="50" t="n">
        <v>168494</v>
      </c>
      <c r="Y15" s="51">
        <f>M15-S15</f>
        <v/>
      </c>
      <c r="Z15" s="52" t="n">
        <v>53</v>
      </c>
      <c r="AA15" s="54">
        <f>X15+Y15+Z15</f>
        <v/>
      </c>
      <c r="AK15" s="57" t="n">
        <v>249675</v>
      </c>
      <c r="AL15" s="50" t="n">
        <v>253693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510.3170654730069</v>
      </c>
      <c r="C16" s="45" t="n">
        <v>520.640486755071</v>
      </c>
      <c r="D16" s="95" t="n">
        <v>519.4209566424192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71309</v>
      </c>
      <c r="L16" s="50" t="n">
        <v>72093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20158</v>
      </c>
      <c r="R16" s="56" t="n">
        <v>20438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51151</v>
      </c>
      <c r="X16" s="50" t="n">
        <v>51655</v>
      </c>
      <c r="Y16" s="51">
        <f>M16-S16</f>
        <v/>
      </c>
      <c r="Z16" s="52" t="n">
        <v>11</v>
      </c>
      <c r="AA16" s="54">
        <f>X16+Y16+Z16</f>
        <v/>
      </c>
      <c r="AK16" s="57" t="n">
        <v>71289</v>
      </c>
      <c r="AL16" s="50" t="n">
        <v>72072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4794.702584605134</v>
      </c>
      <c r="C17" s="45" t="n">
        <v>4876.753021423988</v>
      </c>
      <c r="D17" s="95" t="n">
        <v>4875.918499565276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305417</v>
      </c>
      <c r="L17" s="50" t="n">
        <v>309184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151389</v>
      </c>
      <c r="R17" s="56" t="n">
        <v>153559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154028</v>
      </c>
      <c r="X17" s="50" t="n">
        <v>155625</v>
      </c>
      <c r="Y17" s="51">
        <f>M17-S17</f>
        <v/>
      </c>
      <c r="Z17" s="52" t="n">
        <v>147</v>
      </c>
      <c r="AA17" s="54">
        <f>X17+Y17+Z17</f>
        <v/>
      </c>
      <c r="AK17" s="57" t="n">
        <v>305278</v>
      </c>
      <c r="AL17" s="50" t="n">
        <v>309049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1602.219271620725</v>
      </c>
      <c r="C18" s="45" t="n">
        <v>1625.997417496433</v>
      </c>
      <c r="D18" s="95" t="n">
        <v>1631.339947676996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281932</v>
      </c>
      <c r="L18" s="50" t="n">
        <v>283265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37607</v>
      </c>
      <c r="R18" s="56" t="n">
        <v>38178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244325</v>
      </c>
      <c r="X18" s="50" t="n">
        <v>245087</v>
      </c>
      <c r="Y18" s="51">
        <f>M18-S18</f>
        <v/>
      </c>
      <c r="Z18" s="52" t="n">
        <v>28</v>
      </c>
      <c r="AA18" s="54">
        <f>X18+Y18+Z18</f>
        <v/>
      </c>
      <c r="AK18" s="57" t="n">
        <v>281824</v>
      </c>
      <c r="AL18" s="50" t="n">
        <v>283157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1598.77057204076</v>
      </c>
      <c r="C19" s="45" t="n">
        <v>1631.372499699316</v>
      </c>
      <c r="D19" s="95" t="n">
        <v>1626.512918916082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122788</v>
      </c>
      <c r="L19" s="50" t="n">
        <v>125285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42641</v>
      </c>
      <c r="R19" s="56" t="n">
        <v>43282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80147</v>
      </c>
      <c r="X19" s="50" t="n">
        <v>82003</v>
      </c>
      <c r="Y19" s="51">
        <f>M19-S19</f>
        <v/>
      </c>
      <c r="Z19" s="52" t="n">
        <v>60</v>
      </c>
      <c r="AA19" s="54">
        <f>X19+Y19+Z19</f>
        <v/>
      </c>
      <c r="AK19" s="57" t="n">
        <v>122714</v>
      </c>
      <c r="AL19" s="50" t="n">
        <v>125211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630.8884846588205</v>
      </c>
      <c r="C20" s="45" t="n">
        <v>645.0200704392565</v>
      </c>
      <c r="D20" s="95" t="n">
        <v>644.0067487509274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75347</v>
      </c>
      <c r="L20" s="50" t="n">
        <v>76223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22454</v>
      </c>
      <c r="R20" s="56" t="n">
        <v>22815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52893</v>
      </c>
      <c r="X20" s="50" t="n">
        <v>53408</v>
      </c>
      <c r="Y20" s="51">
        <f>M20-S20</f>
        <v/>
      </c>
      <c r="Z20" s="52" t="n">
        <v>24</v>
      </c>
      <c r="AA20" s="54">
        <f>X20+Y20+Z20</f>
        <v/>
      </c>
      <c r="AK20" s="57" t="n">
        <v>75294</v>
      </c>
      <c r="AL20" s="50" t="n">
        <v>76170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225.0761733267155</v>
      </c>
      <c r="C21" s="45" t="n">
        <v>231.741958913078</v>
      </c>
      <c r="D21" s="95" t="n">
        <v>231.0052393804491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22304</v>
      </c>
      <c r="L21" s="56" t="n">
        <v>22566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9257</v>
      </c>
      <c r="R21" s="56" t="n">
        <v>9386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13047</v>
      </c>
      <c r="X21" s="50" t="n">
        <v>13180</v>
      </c>
      <c r="Y21" s="51">
        <f>M21-S21</f>
        <v/>
      </c>
      <c r="Z21" s="52" t="n">
        <v>25</v>
      </c>
      <c r="AA21" s="54">
        <f>X21+Y21+Z21</f>
        <v/>
      </c>
      <c r="AK21" s="61" t="n">
        <v>22291</v>
      </c>
      <c r="AL21" s="56" t="n">
        <v>22553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122.5908382832192</v>
      </c>
      <c r="C22" s="45" t="n">
        <v>126.4277735828403</v>
      </c>
      <c r="D22" s="95" t="n">
        <v>126.4078569322354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10966</v>
      </c>
      <c r="L22" s="50" t="n">
        <v>11161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4208</v>
      </c>
      <c r="R22" s="56" t="n">
        <v>4286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6758</v>
      </c>
      <c r="X22" s="50" t="n">
        <v>6875</v>
      </c>
      <c r="Y22" s="51">
        <f>M22-S22</f>
        <v/>
      </c>
      <c r="Z22" s="52" t="n">
        <v>6</v>
      </c>
      <c r="AA22" s="54">
        <f>X22+Y22+Z22</f>
        <v/>
      </c>
      <c r="AK22" s="57" t="n">
        <v>10949</v>
      </c>
      <c r="AL22" s="50" t="n">
        <v>11144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3537.808122464755</v>
      </c>
      <c r="C23" s="45" t="n">
        <v>3613.16236996295</v>
      </c>
      <c r="D23" s="95" t="n">
        <v>3609.835173809399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394315</v>
      </c>
      <c r="L23" s="50" t="n">
        <v>398398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162376</v>
      </c>
      <c r="R23" s="56" t="n">
        <v>164543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231939</v>
      </c>
      <c r="X23" s="50" t="n">
        <v>233855</v>
      </c>
      <c r="Y23" s="51">
        <f>M23-S23</f>
        <v/>
      </c>
      <c r="Z23" s="52" t="n">
        <v>55</v>
      </c>
      <c r="AA23" s="54">
        <f>X23+Y23+Z23</f>
        <v/>
      </c>
      <c r="AK23" s="57" t="n">
        <v>394204</v>
      </c>
      <c r="AL23" s="50" t="n">
        <v>398287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851.6668169479408</v>
      </c>
      <c r="C24" s="45" t="n">
        <v>871.5928865735058</v>
      </c>
      <c r="D24" s="95" t="n">
        <v>869.7295414904798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95991</v>
      </c>
      <c r="L24" s="50" t="n">
        <v>97029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37256</v>
      </c>
      <c r="R24" s="56" t="n">
        <v>37693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58735</v>
      </c>
      <c r="X24" s="50" t="n">
        <v>59336</v>
      </c>
      <c r="Y24" s="51">
        <f>M24-S24</f>
        <v/>
      </c>
      <c r="Z24" s="52" t="n">
        <v>19</v>
      </c>
      <c r="AA24" s="54">
        <f>X24+Y24+Z24</f>
        <v/>
      </c>
      <c r="AK24" s="57" t="n">
        <v>95950</v>
      </c>
      <c r="AL24" s="50" t="n">
        <v>96988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1089.16585359118</v>
      </c>
      <c r="C25" s="45" t="n">
        <v>1111.741109387545</v>
      </c>
      <c r="D25" s="95" t="n">
        <v>1110.641318901971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145921</v>
      </c>
      <c r="L25" s="50" t="n">
        <v>147252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39242</v>
      </c>
      <c r="R25" s="56" t="n">
        <v>39830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106679</v>
      </c>
      <c r="X25" s="50" t="n">
        <v>107422</v>
      </c>
      <c r="Y25" s="51">
        <f>M25-S25</f>
        <v/>
      </c>
      <c r="Z25" s="52" t="n">
        <v>20</v>
      </c>
      <c r="AA25" s="54">
        <f>X25+Y25+Z25</f>
        <v/>
      </c>
      <c r="AK25" s="57" t="n">
        <v>145886</v>
      </c>
      <c r="AL25" s="50" t="n">
        <v>147217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9043.852380862991</v>
      </c>
      <c r="C26" s="45" t="n">
        <v>9318.914546324804</v>
      </c>
      <c r="D26" s="95" t="n">
        <v>9224.99874467327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162442</v>
      </c>
      <c r="L26" s="50" t="n">
        <v>164334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149258</v>
      </c>
      <c r="R26" s="56" t="n">
        <v>151002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13184</v>
      </c>
      <c r="X26" s="50" t="n">
        <v>13332</v>
      </c>
      <c r="Y26" s="51">
        <f>M26-S26</f>
        <v/>
      </c>
      <c r="Z26" s="52" t="n">
        <v>9</v>
      </c>
      <c r="AA26" s="54">
        <f>X26+Y26+Z26</f>
        <v/>
      </c>
      <c r="AK26" s="57" t="n">
        <v>162270</v>
      </c>
      <c r="AL26" s="50" t="n">
        <v>164163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4412.059459860669</v>
      </c>
      <c r="C27" s="45" t="n">
        <v>4486.417590850524</v>
      </c>
      <c r="D27" s="95" t="n">
        <v>4485.218216108834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275641</v>
      </c>
      <c r="L27" s="50" t="n">
        <v>279318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141701</v>
      </c>
      <c r="R27" s="56" t="n">
        <v>143959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133940</v>
      </c>
      <c r="X27" s="50" t="n">
        <v>135359</v>
      </c>
      <c r="Y27" s="51">
        <f>M27-S27</f>
        <v/>
      </c>
      <c r="Z27" s="52" t="n">
        <v>60</v>
      </c>
      <c r="AA27" s="54">
        <f>X27+Y27+Z27</f>
        <v/>
      </c>
      <c r="AK27" s="57" t="n">
        <v>275483</v>
      </c>
      <c r="AL27" s="50" t="n">
        <v>279158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1445.643241104832</v>
      </c>
      <c r="C28" s="45" t="n">
        <v>1465.017639940352</v>
      </c>
      <c r="D28" s="95" t="n">
        <v>1464.100008390998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43866</v>
      </c>
      <c r="L28" s="50" t="n">
        <v>44453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26563</v>
      </c>
      <c r="R28" s="56" t="n">
        <v>26885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17303</v>
      </c>
      <c r="X28" s="50" t="n">
        <v>17568</v>
      </c>
      <c r="Y28" s="51">
        <f>M28-S28</f>
        <v/>
      </c>
      <c r="Z28" s="52" t="n">
        <v>6</v>
      </c>
      <c r="AA28" s="54">
        <f>X28+Y28+Z28</f>
        <v/>
      </c>
      <c r="AK28" s="57" t="n">
        <v>43835</v>
      </c>
      <c r="AL28" s="50" t="n">
        <v>44422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46.99943747691125</v>
      </c>
      <c r="C29" s="45" t="n">
        <v>48.2287838958647</v>
      </c>
      <c r="D29" s="95" t="n">
        <v>48.29080174449795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3317</v>
      </c>
      <c r="L29" s="50" t="n">
        <v>3364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1244</v>
      </c>
      <c r="R29" s="56" t="n">
        <v>1258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2073</v>
      </c>
      <c r="X29" s="50" t="n">
        <v>2106</v>
      </c>
      <c r="Y29" s="51">
        <f>M29-S29</f>
        <v/>
      </c>
      <c r="Z29" s="52" t="n">
        <v>1</v>
      </c>
      <c r="AA29" s="54">
        <f>X29+Y29+Z29</f>
        <v/>
      </c>
      <c r="AK29" s="57" t="n">
        <v>3311</v>
      </c>
      <c r="AL29" s="50" t="n">
        <v>3358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848.7035055255136</v>
      </c>
      <c r="C30" s="45" t="n">
        <v>870.6140654343285</v>
      </c>
      <c r="D30" s="95" t="n">
        <v>868.821675567169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81746</v>
      </c>
      <c r="L30" s="50" t="n">
        <v>83234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21005</v>
      </c>
      <c r="R30" s="56" t="n">
        <v>21383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60741</v>
      </c>
      <c r="X30" s="50" t="n">
        <v>61851</v>
      </c>
      <c r="Y30" s="51">
        <f>M30-S30</f>
        <v/>
      </c>
      <c r="Z30" s="52" t="n">
        <v>29</v>
      </c>
      <c r="AA30" s="54">
        <f>X30+Y30+Z30</f>
        <v/>
      </c>
      <c r="AK30" s="57" t="n">
        <v>81713</v>
      </c>
      <c r="AL30" s="50" t="n">
        <v>83201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1685.153552484291</v>
      </c>
      <c r="C31" s="45" t="n">
        <v>1719.814904691777</v>
      </c>
      <c r="D31" s="95" t="n">
        <v>1713.629293105461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163637</v>
      </c>
      <c r="L31" s="50" t="n">
        <v>165866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56790</v>
      </c>
      <c r="R31" s="56" t="n">
        <v>57492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106847</v>
      </c>
      <c r="X31" s="50" t="n">
        <v>108374</v>
      </c>
      <c r="Y31" s="51">
        <f>M31-S31</f>
        <v/>
      </c>
      <c r="Z31" s="52" t="n">
        <v>45</v>
      </c>
      <c r="AA31" s="54">
        <f>X31+Y31+Z31</f>
        <v/>
      </c>
      <c r="AK31" s="57" t="n">
        <v>163561</v>
      </c>
      <c r="AL31" s="50" t="n">
        <v>165790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8499.399750000866</v>
      </c>
      <c r="C32" s="45" t="n">
        <v>8627.31097905975</v>
      </c>
      <c r="D32" s="95" t="n">
        <v>8624.88775302772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331647</v>
      </c>
      <c r="L32" s="50" t="n">
        <v>336347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172282</v>
      </c>
      <c r="R32" s="56" t="n">
        <v>175053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159365</v>
      </c>
      <c r="X32" s="50" t="n">
        <v>161294</v>
      </c>
      <c r="Y32" s="51">
        <f>M32-S32</f>
        <v/>
      </c>
      <c r="Z32" s="52" t="n">
        <v>56</v>
      </c>
      <c r="AA32" s="54">
        <f>X32+Y32+Z32</f>
        <v/>
      </c>
      <c r="AK32" s="57" t="n">
        <v>331489</v>
      </c>
      <c r="AL32" s="50" t="n">
        <v>336190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2076.84338997607</v>
      </c>
      <c r="C33" s="45" t="n">
        <v>2108.944710364075</v>
      </c>
      <c r="D33" s="95" t="n">
        <v>2107.189512299301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100178</v>
      </c>
      <c r="L33" s="50" t="n">
        <v>101693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55308</v>
      </c>
      <c r="R33" s="56" t="n">
        <v>56269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44870</v>
      </c>
      <c r="X33" s="50" t="n">
        <v>45424</v>
      </c>
      <c r="Y33" s="51">
        <f>M33-S33</f>
        <v/>
      </c>
      <c r="Z33" s="52" t="n">
        <v>15</v>
      </c>
      <c r="AA33" s="54">
        <f>X33+Y33+Z33</f>
        <v/>
      </c>
      <c r="AK33" s="57" t="n">
        <v>100122</v>
      </c>
      <c r="AL33" s="50" t="n">
        <v>101637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4570580.650798637</v>
      </c>
      <c r="C34" s="64" t="n">
        <v>4812933.329511005</v>
      </c>
      <c r="D34" s="97" t="n">
        <v>4802817.785254985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48171128</v>
      </c>
      <c r="L34" s="70" t="n">
        <v>49358225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2762506</v>
      </c>
      <c r="R34" s="72" t="n">
        <v>2801466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3726488</v>
      </c>
      <c r="X34" s="70" t="n">
        <v>3768526</v>
      </c>
      <c r="Y34" s="70" t="n">
        <v>240028</v>
      </c>
      <c r="Z34" s="70" t="n">
        <v>1244</v>
      </c>
      <c r="AA34" s="73">
        <f>X34+Y34+Z34</f>
        <v/>
      </c>
      <c r="AB34" s="74" t="n">
        <v>41682134</v>
      </c>
      <c r="AC34" s="75" t="n">
        <v>42788233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6485324</v>
      </c>
      <c r="AL34" s="70" t="n">
        <v>6566317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394.3730511068524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37375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B2" sqref="B2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2148.827706476083</v>
      </c>
      <c r="C3" s="45" t="n">
        <v>2184.095577105951</v>
      </c>
      <c r="D3" s="95" t="n">
        <v>2181.591092102308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165145</v>
      </c>
      <c r="L3" s="50" t="n">
        <v>167278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75488</v>
      </c>
      <c r="R3" s="56" t="n">
        <v>76612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89657</v>
      </c>
      <c r="X3" s="50" t="n">
        <v>90666</v>
      </c>
      <c r="Y3" s="51">
        <f>M3-S3</f>
        <v/>
      </c>
      <c r="Z3" s="52" t="n">
        <v>36</v>
      </c>
      <c r="AA3" s="54">
        <f>X3+Y3+Z3</f>
        <v/>
      </c>
      <c r="AK3" s="57" t="n">
        <v>165071</v>
      </c>
      <c r="AL3" s="50" t="n">
        <v>167203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94856.51253931584</v>
      </c>
      <c r="C4" s="45" t="n">
        <v>98564.32838547707</v>
      </c>
      <c r="D4" s="95" t="n">
        <v>97472.47640778939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179243</v>
      </c>
      <c r="L4" s="50" t="n">
        <v>181256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171268</v>
      </c>
      <c r="R4" s="56" t="n">
        <v>173159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7975</v>
      </c>
      <c r="X4" s="50" t="n">
        <v>8097</v>
      </c>
      <c r="Y4" s="51">
        <f>M4-S4</f>
        <v/>
      </c>
      <c r="Z4" s="52" t="n">
        <v>6</v>
      </c>
      <c r="AA4" s="54">
        <f>X4+Y4+Z4</f>
        <v/>
      </c>
      <c r="AK4" s="57" t="n">
        <v>178876</v>
      </c>
      <c r="AL4" s="50" t="n">
        <v>180890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2873.552004626843</v>
      </c>
      <c r="C5" s="45" t="n">
        <v>2921.449548963862</v>
      </c>
      <c r="D5" s="95" t="n">
        <v>2920.432801917314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332591</v>
      </c>
      <c r="L5" s="50" t="n">
        <v>336445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100524</v>
      </c>
      <c r="R5" s="56" t="n">
        <v>101652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232067</v>
      </c>
      <c r="X5" s="50" t="n">
        <v>234793</v>
      </c>
      <c r="Y5" s="51">
        <f>M5-S5</f>
        <v/>
      </c>
      <c r="Z5" s="52" t="n">
        <v>38</v>
      </c>
      <c r="AA5" s="54">
        <f>X5+Y5+Z5</f>
        <v/>
      </c>
      <c r="AK5" s="57" t="n">
        <v>332473</v>
      </c>
      <c r="AL5" s="50" t="n">
        <v>336326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460.5837645457505</v>
      </c>
      <c r="C6" s="45" t="n">
        <v>470.769549834391</v>
      </c>
      <c r="D6" s="95" t="n">
        <v>469.6709637781847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55128</v>
      </c>
      <c r="L6" s="56" t="n">
        <v>55787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21290</v>
      </c>
      <c r="R6" s="56" t="n">
        <v>21579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33838</v>
      </c>
      <c r="X6" s="50" t="n">
        <v>34208</v>
      </c>
      <c r="Y6" s="51">
        <f>M6-S6</f>
        <v/>
      </c>
      <c r="Z6" s="52" t="n">
        <v>4</v>
      </c>
      <c r="AA6" s="54">
        <f>X6+Y6+Z6</f>
        <v/>
      </c>
      <c r="AK6" s="61" t="n">
        <v>55111</v>
      </c>
      <c r="AL6" s="56" t="n">
        <v>55769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14310.58188617743</v>
      </c>
      <c r="C7" s="45" t="n">
        <v>14560.52332124865</v>
      </c>
      <c r="D7" s="95" t="n">
        <v>14557.49982563949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773682</v>
      </c>
      <c r="L7" s="50" t="n">
        <v>785303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406808</v>
      </c>
      <c r="R7" s="56" t="n">
        <v>413568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366874</v>
      </c>
      <c r="X7" s="50" t="n">
        <v>371735</v>
      </c>
      <c r="Y7" s="51">
        <f>M7-S7</f>
        <v/>
      </c>
      <c r="Z7" s="52" t="n">
        <v>96</v>
      </c>
      <c r="AA7" s="54">
        <f>X7+Y7+Z7</f>
        <v/>
      </c>
      <c r="AK7" s="57" t="n">
        <v>773232</v>
      </c>
      <c r="AL7" s="50" t="n">
        <v>784854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1684.298575270651</v>
      </c>
      <c r="C8" s="45" t="n">
        <v>1712.487781737304</v>
      </c>
      <c r="D8" s="95" t="n">
        <v>1711.512304664783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134169</v>
      </c>
      <c r="L8" s="50" t="n">
        <v>135983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54978</v>
      </c>
      <c r="R8" s="56" t="n">
        <v>55666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79191</v>
      </c>
      <c r="X8" s="50" t="n">
        <v>80317</v>
      </c>
      <c r="Y8" s="51">
        <f>M8-S8</f>
        <v/>
      </c>
      <c r="Z8" s="52" t="n">
        <v>23</v>
      </c>
      <c r="AA8" s="54">
        <f>X8+Y8+Z8</f>
        <v/>
      </c>
      <c r="AK8" s="57" t="n">
        <v>134102</v>
      </c>
      <c r="AL8" s="50" t="n">
        <v>135916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2628.312532507106</v>
      </c>
      <c r="C9" s="45" t="n">
        <v>2645.13621180852</v>
      </c>
      <c r="D9" s="95" t="n">
        <v>2642.946773451016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91901</v>
      </c>
      <c r="L9" s="50" t="n">
        <v>93155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41064</v>
      </c>
      <c r="R9" s="56" t="n">
        <v>41587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50837</v>
      </c>
      <c r="X9" s="50" t="n">
        <v>51568</v>
      </c>
      <c r="Y9" s="51">
        <f>M9-S9</f>
        <v/>
      </c>
      <c r="Z9" s="52" t="n">
        <v>27</v>
      </c>
      <c r="AA9" s="54">
        <f>X9+Y9+Z9</f>
        <v/>
      </c>
      <c r="AK9" s="57" t="n">
        <v>91863</v>
      </c>
      <c r="AL9" s="50" t="n">
        <v>93117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2853.36570188151</v>
      </c>
      <c r="C10" s="45" t="n">
        <v>2900.332998813709</v>
      </c>
      <c r="D10" s="95" t="n">
        <v>2895.743204140987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223246</v>
      </c>
      <c r="L10" s="50" t="n">
        <v>224882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38682</v>
      </c>
      <c r="R10" s="56" t="n">
        <v>39264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184564</v>
      </c>
      <c r="X10" s="50" t="n">
        <v>185618</v>
      </c>
      <c r="Y10" s="51">
        <f>M10-S10</f>
        <v/>
      </c>
      <c r="Z10" s="52" t="n">
        <v>44</v>
      </c>
      <c r="AA10" s="54">
        <f>X10+Y10+Z10</f>
        <v/>
      </c>
      <c r="AK10" s="57" t="n">
        <v>223223</v>
      </c>
      <c r="AL10" s="50" t="n">
        <v>224859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1636.569601380151</v>
      </c>
      <c r="C11" s="45" t="n">
        <v>1670.667339509283</v>
      </c>
      <c r="D11" s="95" t="n">
        <v>1670.704794543847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196116</v>
      </c>
      <c r="L11" s="50" t="n">
        <v>198826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72318</v>
      </c>
      <c r="R11" s="56" t="n">
        <v>73471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123798</v>
      </c>
      <c r="X11" s="50" t="n">
        <v>125355</v>
      </c>
      <c r="Y11" s="51">
        <f>M11-S11</f>
        <v/>
      </c>
      <c r="Z11" s="52" t="n">
        <v>53</v>
      </c>
      <c r="AA11" s="54">
        <f>X11+Y11+Z11</f>
        <v/>
      </c>
      <c r="AK11" s="57" t="n">
        <v>196040</v>
      </c>
      <c r="AL11" s="50" t="n">
        <v>198749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2985.922339355216</v>
      </c>
      <c r="C12" s="45" t="n">
        <v>3038.170470932497</v>
      </c>
      <c r="D12" s="95" t="n">
        <v>3040.538147627148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296659</v>
      </c>
      <c r="L12" s="50" t="n">
        <v>301283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116749</v>
      </c>
      <c r="R12" s="56" t="n">
        <v>118391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179910</v>
      </c>
      <c r="X12" s="50" t="n">
        <v>182892</v>
      </c>
      <c r="Y12" s="51">
        <f>M12-S12</f>
        <v/>
      </c>
      <c r="Z12" s="52" t="n">
        <v>64</v>
      </c>
      <c r="AA12" s="54">
        <f>X12+Y12+Z12</f>
        <v/>
      </c>
      <c r="AK12" s="57" t="n">
        <v>296515</v>
      </c>
      <c r="AL12" s="50" t="n">
        <v>301138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853.7913817974277</v>
      </c>
      <c r="C13" s="45" t="n">
        <v>871.7350067822065</v>
      </c>
      <c r="D13" s="95" t="n">
        <v>870.1103809655178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76259</v>
      </c>
      <c r="L13" s="50" t="n">
        <v>77482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21320</v>
      </c>
      <c r="R13" s="56" t="n">
        <v>21610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54939</v>
      </c>
      <c r="X13" s="50" t="n">
        <v>55872</v>
      </c>
      <c r="Y13" s="51">
        <f>M13-S13</f>
        <v/>
      </c>
      <c r="Z13" s="52" t="n">
        <v>36</v>
      </c>
      <c r="AA13" s="54">
        <f>X13+Y13+Z13</f>
        <v/>
      </c>
      <c r="AK13" s="57" t="n">
        <v>76224</v>
      </c>
      <c r="AL13" s="50" t="n">
        <v>77447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3682.383827006646</v>
      </c>
      <c r="C14" s="45" t="n">
        <v>3746.18875740107</v>
      </c>
      <c r="D14" s="95" t="n">
        <v>3745.904131054486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254915</v>
      </c>
      <c r="L14" s="50" t="n">
        <v>258854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89091</v>
      </c>
      <c r="R14" s="56" t="n">
        <v>90525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165824</v>
      </c>
      <c r="X14" s="50" t="n">
        <v>168329</v>
      </c>
      <c r="Y14" s="51">
        <f>M14-S14</f>
        <v/>
      </c>
      <c r="Z14" s="52" t="n">
        <v>50</v>
      </c>
      <c r="AA14" s="54">
        <f>X14+Y14+Z14</f>
        <v/>
      </c>
      <c r="AK14" s="57" t="n">
        <v>254807</v>
      </c>
      <c r="AL14" s="50" t="n">
        <v>258744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2835.289001488414</v>
      </c>
      <c r="C15" s="45" t="n">
        <v>2893.093000939126</v>
      </c>
      <c r="D15" s="95" t="n">
        <v>2886.368756744195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245644</v>
      </c>
      <c r="L15" s="50" t="n">
        <v>249793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82869</v>
      </c>
      <c r="R15" s="56" t="n">
        <v>84018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162775</v>
      </c>
      <c r="X15" s="50" t="n">
        <v>165775</v>
      </c>
      <c r="Y15" s="51">
        <f>M15-S15</f>
        <v/>
      </c>
      <c r="Z15" s="52" t="n">
        <v>53</v>
      </c>
      <c r="AA15" s="54">
        <f>X15+Y15+Z15</f>
        <v/>
      </c>
      <c r="AK15" s="57" t="n">
        <v>245528</v>
      </c>
      <c r="AL15" s="50" t="n">
        <v>249675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501.2131743035946</v>
      </c>
      <c r="C16" s="45" t="n">
        <v>510.3170654730069</v>
      </c>
      <c r="D16" s="95" t="n">
        <v>510.5437493968372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70577</v>
      </c>
      <c r="L16" s="50" t="n">
        <v>71309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19895</v>
      </c>
      <c r="R16" s="56" t="n">
        <v>20158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50682</v>
      </c>
      <c r="X16" s="50" t="n">
        <v>51151</v>
      </c>
      <c r="Y16" s="51">
        <f>M16-S16</f>
        <v/>
      </c>
      <c r="Z16" s="52" t="n">
        <v>11</v>
      </c>
      <c r="AA16" s="54">
        <f>X16+Y16+Z16</f>
        <v/>
      </c>
      <c r="AK16" s="57" t="n">
        <v>70557</v>
      </c>
      <c r="AL16" s="50" t="n">
        <v>71289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4713.486669644992</v>
      </c>
      <c r="C17" s="45" t="n">
        <v>4794.702584605134</v>
      </c>
      <c r="D17" s="95" t="n">
        <v>4793.013919550305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301807</v>
      </c>
      <c r="L17" s="50" t="n">
        <v>305417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149313</v>
      </c>
      <c r="R17" s="56" t="n">
        <v>151389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152494</v>
      </c>
      <c r="X17" s="50" t="n">
        <v>154028</v>
      </c>
      <c r="Y17" s="51">
        <f>M17-S17</f>
        <v/>
      </c>
      <c r="Z17" s="52" t="n">
        <v>147</v>
      </c>
      <c r="AA17" s="54">
        <f>X17+Y17+Z17</f>
        <v/>
      </c>
      <c r="AK17" s="57" t="n">
        <v>301668</v>
      </c>
      <c r="AL17" s="50" t="n">
        <v>305278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1573.098595564454</v>
      </c>
      <c r="C18" s="45" t="n">
        <v>1602.219271620725</v>
      </c>
      <c r="D18" s="95" t="n">
        <v>1598.335600547027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280557</v>
      </c>
      <c r="L18" s="50" t="n">
        <v>281932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37031</v>
      </c>
      <c r="R18" s="56" t="n">
        <v>37607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243526</v>
      </c>
      <c r="X18" s="50" t="n">
        <v>244325</v>
      </c>
      <c r="Y18" s="51">
        <f>M18-S18</f>
        <v/>
      </c>
      <c r="Z18" s="52" t="n">
        <v>28</v>
      </c>
      <c r="AA18" s="54">
        <f>X18+Y18+Z18</f>
        <v/>
      </c>
      <c r="AK18" s="57" t="n">
        <v>280451</v>
      </c>
      <c r="AL18" s="50" t="n">
        <v>281824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1571.028225165438</v>
      </c>
      <c r="C19" s="45" t="n">
        <v>1598.77057204076</v>
      </c>
      <c r="D19" s="95" t="n">
        <v>1596.660676837608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120906</v>
      </c>
      <c r="L19" s="50" t="n">
        <v>122788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41988</v>
      </c>
      <c r="R19" s="56" t="n">
        <v>42641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78918</v>
      </c>
      <c r="X19" s="50" t="n">
        <v>80147</v>
      </c>
      <c r="Y19" s="51">
        <f>M19-S19</f>
        <v/>
      </c>
      <c r="Z19" s="52" t="n">
        <v>60</v>
      </c>
      <c r="AA19" s="54">
        <f>X19+Y19+Z19</f>
        <v/>
      </c>
      <c r="AK19" s="57" t="n">
        <v>120832</v>
      </c>
      <c r="AL19" s="50" t="n">
        <v>122714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617.7702205667136</v>
      </c>
      <c r="C20" s="45" t="n">
        <v>630.8884846588205</v>
      </c>
      <c r="D20" s="95" t="n">
        <v>630.7500591582767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74455</v>
      </c>
      <c r="L20" s="50" t="n">
        <v>75347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22113</v>
      </c>
      <c r="R20" s="56" t="n">
        <v>22454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52342</v>
      </c>
      <c r="X20" s="50" t="n">
        <v>52893</v>
      </c>
      <c r="Y20" s="51">
        <f>M20-S20</f>
        <v/>
      </c>
      <c r="Z20" s="52" t="n">
        <v>24</v>
      </c>
      <c r="AA20" s="54">
        <f>X20+Y20+Z20</f>
        <v/>
      </c>
      <c r="AK20" s="57" t="n">
        <v>74402</v>
      </c>
      <c r="AL20" s="50" t="n">
        <v>75294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219.1471072729819</v>
      </c>
      <c r="C21" s="45" t="n">
        <v>225.0761733267155</v>
      </c>
      <c r="D21" s="95" t="n">
        <v>223.1543557682512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21981</v>
      </c>
      <c r="L21" s="56" t="n">
        <v>22304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9102</v>
      </c>
      <c r="R21" s="56" t="n">
        <v>9257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12879</v>
      </c>
      <c r="X21" s="50" t="n">
        <v>13047</v>
      </c>
      <c r="Y21" s="51">
        <f>M21-S21</f>
        <v/>
      </c>
      <c r="Z21" s="52" t="n">
        <v>25</v>
      </c>
      <c r="AA21" s="54">
        <f>X21+Y21+Z21</f>
        <v/>
      </c>
      <c r="AK21" s="61" t="n">
        <v>21968</v>
      </c>
      <c r="AL21" s="56" t="n">
        <v>22291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118.773819634203</v>
      </c>
      <c r="C22" s="45" t="n">
        <v>122.5908382832192</v>
      </c>
      <c r="D22" s="95" t="n">
        <v>121.6450105984859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10778</v>
      </c>
      <c r="L22" s="50" t="n">
        <v>10966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4125</v>
      </c>
      <c r="R22" s="56" t="n">
        <v>4208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6653</v>
      </c>
      <c r="X22" s="50" t="n">
        <v>6758</v>
      </c>
      <c r="Y22" s="51">
        <f>M22-S22</f>
        <v/>
      </c>
      <c r="Z22" s="52" t="n">
        <v>6</v>
      </c>
      <c r="AA22" s="54">
        <f>X22+Y22+Z22</f>
        <v/>
      </c>
      <c r="AK22" s="57" t="n">
        <v>10761</v>
      </c>
      <c r="AL22" s="50" t="n">
        <v>10949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3465.781071120112</v>
      </c>
      <c r="C23" s="45" t="n">
        <v>3537.808122464755</v>
      </c>
      <c r="D23" s="95" t="n">
        <v>3533.934325440845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390414</v>
      </c>
      <c r="L23" s="50" t="n">
        <v>394315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160465</v>
      </c>
      <c r="R23" s="56" t="n">
        <v>162376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229949</v>
      </c>
      <c r="X23" s="50" t="n">
        <v>231939</v>
      </c>
      <c r="Y23" s="51">
        <f>M23-S23</f>
        <v/>
      </c>
      <c r="Z23" s="52" t="n">
        <v>55</v>
      </c>
      <c r="AA23" s="54">
        <f>X23+Y23+Z23</f>
        <v/>
      </c>
      <c r="AK23" s="57" t="n">
        <v>390303</v>
      </c>
      <c r="AL23" s="50" t="n">
        <v>394204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833.6040924054017</v>
      </c>
      <c r="C24" s="45" t="n">
        <v>851.6668169479408</v>
      </c>
      <c r="D24" s="95" t="n">
        <v>849.6519284715789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94826</v>
      </c>
      <c r="L24" s="50" t="n">
        <v>95991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36754</v>
      </c>
      <c r="R24" s="56" t="n">
        <v>37256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58072</v>
      </c>
      <c r="X24" s="50" t="n">
        <v>58735</v>
      </c>
      <c r="Y24" s="51">
        <f>M24-S24</f>
        <v/>
      </c>
      <c r="Z24" s="52" t="n">
        <v>19</v>
      </c>
      <c r="AA24" s="54">
        <f>X24+Y24+Z24</f>
        <v/>
      </c>
      <c r="AK24" s="57" t="n">
        <v>94786</v>
      </c>
      <c r="AL24" s="50" t="n">
        <v>95950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1067.69038828039</v>
      </c>
      <c r="C25" s="45" t="n">
        <v>1089.16585359118</v>
      </c>
      <c r="D25" s="95" t="n">
        <v>1086.891913882465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144773</v>
      </c>
      <c r="L25" s="50" t="n">
        <v>145921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38715</v>
      </c>
      <c r="R25" s="56" t="n">
        <v>39242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106058</v>
      </c>
      <c r="X25" s="50" t="n">
        <v>106679</v>
      </c>
      <c r="Y25" s="51">
        <f>M25-S25</f>
        <v/>
      </c>
      <c r="Z25" s="52" t="n">
        <v>20</v>
      </c>
      <c r="AA25" s="54">
        <f>X25+Y25+Z25</f>
        <v/>
      </c>
      <c r="AK25" s="57" t="n">
        <v>144738</v>
      </c>
      <c r="AL25" s="50" t="n">
        <v>145886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8862.706017052711</v>
      </c>
      <c r="C26" s="45" t="n">
        <v>9043.852380862991</v>
      </c>
      <c r="D26" s="95" t="n">
        <v>9023.808393396346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160558</v>
      </c>
      <c r="L26" s="50" t="n">
        <v>162442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147509</v>
      </c>
      <c r="R26" s="56" t="n">
        <v>149258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13049</v>
      </c>
      <c r="X26" s="50" t="n">
        <v>13184</v>
      </c>
      <c r="Y26" s="51">
        <f>M26-S26</f>
        <v/>
      </c>
      <c r="Z26" s="52" t="n">
        <v>9</v>
      </c>
      <c r="AA26" s="54">
        <f>X26+Y26+Z26</f>
        <v/>
      </c>
      <c r="AK26" s="57" t="n">
        <v>160384</v>
      </c>
      <c r="AL26" s="50" t="n">
        <v>162270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4338.900703612503</v>
      </c>
      <c r="C27" s="45" t="n">
        <v>4412.059459860669</v>
      </c>
      <c r="D27" s="95" t="n">
        <v>4407.798504143946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272209</v>
      </c>
      <c r="L27" s="50" t="n">
        <v>275641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139633</v>
      </c>
      <c r="R27" s="56" t="n">
        <v>141701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132576</v>
      </c>
      <c r="X27" s="50" t="n">
        <v>133940</v>
      </c>
      <c r="Y27" s="51">
        <f>M27-S27</f>
        <v/>
      </c>
      <c r="Z27" s="52" t="n">
        <v>60</v>
      </c>
      <c r="AA27" s="54">
        <f>X27+Y27+Z27</f>
        <v/>
      </c>
      <c r="AK27" s="57" t="n">
        <v>272051</v>
      </c>
      <c r="AL27" s="50" t="n">
        <v>275483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1427.186473818665</v>
      </c>
      <c r="C28" s="45" t="n">
        <v>1445.643241104832</v>
      </c>
      <c r="D28" s="95" t="n">
        <v>1445.690189082841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43214</v>
      </c>
      <c r="L28" s="50" t="n">
        <v>43866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26179</v>
      </c>
      <c r="R28" s="56" t="n">
        <v>26563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17035</v>
      </c>
      <c r="X28" s="50" t="n">
        <v>17303</v>
      </c>
      <c r="Y28" s="51">
        <f>M28-S28</f>
        <v/>
      </c>
      <c r="Z28" s="52" t="n">
        <v>6</v>
      </c>
      <c r="AA28" s="54">
        <f>X28+Y28+Z28</f>
        <v/>
      </c>
      <c r="AK28" s="57" t="n">
        <v>43183</v>
      </c>
      <c r="AL28" s="50" t="n">
        <v>43835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45.70807320932455</v>
      </c>
      <c r="C29" s="45" t="n">
        <v>46.99943747691125</v>
      </c>
      <c r="D29" s="95" t="n">
        <v>46.8144269510289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3266</v>
      </c>
      <c r="L29" s="50" t="n">
        <v>3317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1231</v>
      </c>
      <c r="R29" s="56" t="n">
        <v>1244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2035</v>
      </c>
      <c r="X29" s="50" t="n">
        <v>2073</v>
      </c>
      <c r="Y29" s="51">
        <f>M29-S29</f>
        <v/>
      </c>
      <c r="Z29" s="52" t="n">
        <v>1</v>
      </c>
      <c r="AA29" s="54">
        <f>X29+Y29+Z29</f>
        <v/>
      </c>
      <c r="AK29" s="57" t="n">
        <v>3260</v>
      </c>
      <c r="AL29" s="50" t="n">
        <v>3311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828.5853354838582</v>
      </c>
      <c r="C30" s="45" t="n">
        <v>848.7035055255136</v>
      </c>
      <c r="D30" s="95" t="n">
        <v>846.7584119005061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80711</v>
      </c>
      <c r="L30" s="50" t="n">
        <v>81746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20710</v>
      </c>
      <c r="R30" s="56" t="n">
        <v>21005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60001</v>
      </c>
      <c r="X30" s="50" t="n">
        <v>60741</v>
      </c>
      <c r="Y30" s="51">
        <f>M30-S30</f>
        <v/>
      </c>
      <c r="Z30" s="52" t="n">
        <v>29</v>
      </c>
      <c r="AA30" s="54">
        <f>X30+Y30+Z30</f>
        <v/>
      </c>
      <c r="AK30" s="57" t="n">
        <v>80678</v>
      </c>
      <c r="AL30" s="50" t="n">
        <v>81713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1656.677811863122</v>
      </c>
      <c r="C31" s="45" t="n">
        <v>1685.153552484291</v>
      </c>
      <c r="D31" s="95" t="n">
        <v>1681.46128853367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161430</v>
      </c>
      <c r="L31" s="50" t="n">
        <v>163637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56052</v>
      </c>
      <c r="R31" s="56" t="n">
        <v>56790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105378</v>
      </c>
      <c r="X31" s="50" t="n">
        <v>106847</v>
      </c>
      <c r="Y31" s="51">
        <f>M31-S31</f>
        <v/>
      </c>
      <c r="Z31" s="52" t="n">
        <v>45</v>
      </c>
      <c r="AA31" s="54">
        <f>X31+Y31+Z31</f>
        <v/>
      </c>
      <c r="AK31" s="57" t="n">
        <v>161354</v>
      </c>
      <c r="AL31" s="50" t="n">
        <v>163561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8373.911746974012</v>
      </c>
      <c r="C32" s="45" t="n">
        <v>8499.399750000866</v>
      </c>
      <c r="D32" s="95" t="n">
        <v>8492.904774245262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326769</v>
      </c>
      <c r="L32" s="50" t="n">
        <v>331647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169560</v>
      </c>
      <c r="R32" s="56" t="n">
        <v>172282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157209</v>
      </c>
      <c r="X32" s="50" t="n">
        <v>159365</v>
      </c>
      <c r="Y32" s="51">
        <f>M32-S32</f>
        <v/>
      </c>
      <c r="Z32" s="52" t="n">
        <v>56</v>
      </c>
      <c r="AA32" s="54">
        <f>X32+Y32+Z32</f>
        <v/>
      </c>
      <c r="AK32" s="57" t="n">
        <v>326611</v>
      </c>
      <c r="AL32" s="50" t="n">
        <v>331489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2046.497267652839</v>
      </c>
      <c r="C33" s="45" t="n">
        <v>2076.84338997607</v>
      </c>
      <c r="D33" s="95" t="n">
        <v>2075.352921164054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98757</v>
      </c>
      <c r="L33" s="50" t="n">
        <v>100178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54499</v>
      </c>
      <c r="R33" s="56" t="n">
        <v>55308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44258</v>
      </c>
      <c r="X33" s="50" t="n">
        <v>44870</v>
      </c>
      <c r="Y33" s="51">
        <f>M33-S33</f>
        <v/>
      </c>
      <c r="Z33" s="52" t="n">
        <v>15</v>
      </c>
      <c r="AA33" s="54">
        <f>X33+Y33+Z33</f>
        <v/>
      </c>
      <c r="AK33" s="57" t="n">
        <v>98702</v>
      </c>
      <c r="AL33" s="50" t="n">
        <v>100122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4338343.51634229</v>
      </c>
      <c r="C34" s="64" t="n">
        <v>4570580.650798637</v>
      </c>
      <c r="D34" s="97" t="n">
        <v>4561111.017970538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46931437</v>
      </c>
      <c r="L34" s="70" t="n">
        <v>48171128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2724653</v>
      </c>
      <c r="R34" s="72" t="n">
        <v>2762506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3684924</v>
      </c>
      <c r="X34" s="70" t="n">
        <v>3726488</v>
      </c>
      <c r="Y34" s="70" t="n">
        <v>240028</v>
      </c>
      <c r="Z34" s="70" t="n">
        <v>1244</v>
      </c>
      <c r="AA34" s="73">
        <f>X34+Y34+Z34</f>
        <v/>
      </c>
      <c r="AB34" s="74" t="n">
        <v>40521860</v>
      </c>
      <c r="AC34" s="75" t="n">
        <v>41682134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6405918</v>
      </c>
      <c r="AL34" s="70" t="n">
        <v>6485324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394.3730511068524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36612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2116.064320849857</v>
      </c>
      <c r="C3" s="45" t="n">
        <v>2148.827706476083</v>
      </c>
      <c r="D3" s="95" t="n">
        <v>2150.523585944726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162839</v>
      </c>
      <c r="L3" s="50" t="n">
        <v>165145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74433</v>
      </c>
      <c r="R3" s="56" t="n">
        <v>75488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88406</v>
      </c>
      <c r="X3" s="50" t="n">
        <v>89657</v>
      </c>
      <c r="Y3" s="51">
        <f>M3-S3</f>
        <v/>
      </c>
      <c r="Z3" s="52" t="n">
        <v>36</v>
      </c>
      <c r="AA3" s="54">
        <f>X3+Y3+Z3</f>
        <v/>
      </c>
      <c r="AK3" s="57" t="n">
        <v>162765</v>
      </c>
      <c r="AL3" s="50" t="n">
        <v>165071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92240.54867084228</v>
      </c>
      <c r="C4" s="45" t="n">
        <v>94856.51253931584</v>
      </c>
      <c r="D4" s="95" t="n">
        <v>94743.50735778171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176937</v>
      </c>
      <c r="L4" s="50" t="n">
        <v>179243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169082</v>
      </c>
      <c r="R4" s="56" t="n">
        <v>171268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7855</v>
      </c>
      <c r="X4" s="50" t="n">
        <v>7975</v>
      </c>
      <c r="Y4" s="51">
        <f>M4-S4</f>
        <v/>
      </c>
      <c r="Z4" s="52" t="n">
        <v>6</v>
      </c>
      <c r="AA4" s="54">
        <f>X4+Y4+Z4</f>
        <v/>
      </c>
      <c r="AK4" s="57" t="n">
        <v>176572</v>
      </c>
      <c r="AL4" s="50" t="n">
        <v>178876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2826.671207336373</v>
      </c>
      <c r="C5" s="45" t="n">
        <v>2873.552004626843</v>
      </c>
      <c r="D5" s="95" t="n">
        <v>2875.53454060842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328180</v>
      </c>
      <c r="L5" s="50" t="n">
        <v>332591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99235</v>
      </c>
      <c r="R5" s="56" t="n">
        <v>100524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228945</v>
      </c>
      <c r="X5" s="50" t="n">
        <v>232067</v>
      </c>
      <c r="Y5" s="51">
        <f>M5-S5</f>
        <v/>
      </c>
      <c r="Z5" s="52" t="n">
        <v>38</v>
      </c>
      <c r="AA5" s="54">
        <f>X5+Y5+Z5</f>
        <v/>
      </c>
      <c r="AK5" s="57" t="n">
        <v>328063</v>
      </c>
      <c r="AL5" s="50" t="n">
        <v>332473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451.4965653133163</v>
      </c>
      <c r="C6" s="45" t="n">
        <v>460.5837645457505</v>
      </c>
      <c r="D6" s="95" t="n">
        <v>460.5596663497557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54242</v>
      </c>
      <c r="L6" s="56" t="n">
        <v>55128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20960</v>
      </c>
      <c r="R6" s="56" t="n">
        <v>21290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33282</v>
      </c>
      <c r="X6" s="50" t="n">
        <v>33838</v>
      </c>
      <c r="Y6" s="51">
        <f>M6-S6</f>
        <v/>
      </c>
      <c r="Z6" s="52" t="n">
        <v>4</v>
      </c>
      <c r="AA6" s="54">
        <f>X6+Y6+Z6</f>
        <v/>
      </c>
      <c r="AK6" s="61" t="n">
        <v>54225</v>
      </c>
      <c r="AL6" s="56" t="n">
        <v>55111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14063.66394671538</v>
      </c>
      <c r="C7" s="45" t="n">
        <v>14310.58188617743</v>
      </c>
      <c r="D7" s="95" t="n">
        <v>14303.32591203796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761138</v>
      </c>
      <c r="L7" s="50" t="n">
        <v>773682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399352</v>
      </c>
      <c r="R7" s="56" t="n">
        <v>406808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361786</v>
      </c>
      <c r="X7" s="50" t="n">
        <v>366874</v>
      </c>
      <c r="Y7" s="51">
        <f>M7-S7</f>
        <v/>
      </c>
      <c r="Z7" s="52" t="n">
        <v>96</v>
      </c>
      <c r="AA7" s="54">
        <f>X7+Y7+Z7</f>
        <v/>
      </c>
      <c r="AK7" s="57" t="n">
        <v>760691</v>
      </c>
      <c r="AL7" s="50" t="n">
        <v>773232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1657.084845876519</v>
      </c>
      <c r="C8" s="45" t="n">
        <v>1684.298575270651</v>
      </c>
      <c r="D8" s="95" t="n">
        <v>1684.328762148438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132267</v>
      </c>
      <c r="L8" s="50" t="n">
        <v>134169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54289</v>
      </c>
      <c r="R8" s="56" t="n">
        <v>54978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77978</v>
      </c>
      <c r="X8" s="50" t="n">
        <v>79191</v>
      </c>
      <c r="Y8" s="51">
        <f>M8-S8</f>
        <v/>
      </c>
      <c r="Z8" s="52" t="n">
        <v>23</v>
      </c>
      <c r="AA8" s="54">
        <f>X8+Y8+Z8</f>
        <v/>
      </c>
      <c r="AK8" s="57" t="n">
        <v>132200</v>
      </c>
      <c r="AL8" s="50" t="n">
        <v>134102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2613.678291563197</v>
      </c>
      <c r="C9" s="45" t="n">
        <v>2628.312532507106</v>
      </c>
      <c r="D9" s="95" t="n">
        <v>2629.411223396924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90662</v>
      </c>
      <c r="L9" s="50" t="n">
        <v>91901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40546</v>
      </c>
      <c r="R9" s="56" t="n">
        <v>41064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50116</v>
      </c>
      <c r="X9" s="50" t="n">
        <v>50837</v>
      </c>
      <c r="Y9" s="51">
        <f>M9-S9</f>
        <v/>
      </c>
      <c r="Z9" s="52" t="n">
        <v>27</v>
      </c>
      <c r="AA9" s="54">
        <f>X9+Y9+Z9</f>
        <v/>
      </c>
      <c r="AK9" s="57" t="n">
        <v>90624</v>
      </c>
      <c r="AL9" s="50" t="n">
        <v>91863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2810.988199622034</v>
      </c>
      <c r="C10" s="45" t="n">
        <v>2853.36570188151</v>
      </c>
      <c r="D10" s="95" t="n">
        <v>2853.208641458802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221460</v>
      </c>
      <c r="L10" s="50" t="n">
        <v>223246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38144</v>
      </c>
      <c r="R10" s="56" t="n">
        <v>38682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183316</v>
      </c>
      <c r="X10" s="50" t="n">
        <v>184564</v>
      </c>
      <c r="Y10" s="51">
        <f>M10-S10</f>
        <v/>
      </c>
      <c r="Z10" s="52" t="n">
        <v>44</v>
      </c>
      <c r="AA10" s="54">
        <f>X10+Y10+Z10</f>
        <v/>
      </c>
      <c r="AK10" s="57" t="n">
        <v>221437</v>
      </c>
      <c r="AL10" s="50" t="n">
        <v>223223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1602.434408216454</v>
      </c>
      <c r="C11" s="45" t="n">
        <v>1636.569601380151</v>
      </c>
      <c r="D11" s="95" t="n">
        <v>1636.493248099457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193388</v>
      </c>
      <c r="L11" s="50" t="n">
        <v>196116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71127</v>
      </c>
      <c r="R11" s="56" t="n">
        <v>72318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122261</v>
      </c>
      <c r="X11" s="50" t="n">
        <v>123798</v>
      </c>
      <c r="Y11" s="51">
        <f>M11-S11</f>
        <v/>
      </c>
      <c r="Z11" s="52" t="n">
        <v>53</v>
      </c>
      <c r="AA11" s="54">
        <f>X11+Y11+Z11</f>
        <v/>
      </c>
      <c r="AK11" s="57" t="n">
        <v>193313</v>
      </c>
      <c r="AL11" s="50" t="n">
        <v>196040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2931.306531083284</v>
      </c>
      <c r="C12" s="45" t="n">
        <v>2985.922339355216</v>
      </c>
      <c r="D12" s="95" t="n">
        <v>3001.602093146593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292086</v>
      </c>
      <c r="L12" s="50" t="n">
        <v>296659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115201</v>
      </c>
      <c r="R12" s="56" t="n">
        <v>116749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176885</v>
      </c>
      <c r="X12" s="50" t="n">
        <v>179910</v>
      </c>
      <c r="Y12" s="51">
        <f>M12-S12</f>
        <v/>
      </c>
      <c r="Z12" s="52" t="n">
        <v>64</v>
      </c>
      <c r="AA12" s="54">
        <f>X12+Y12+Z12</f>
        <v/>
      </c>
      <c r="AK12" s="57" t="n">
        <v>291942</v>
      </c>
      <c r="AL12" s="50" t="n">
        <v>296515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837.4723826293375</v>
      </c>
      <c r="C13" s="45" t="n">
        <v>853.7913817974277</v>
      </c>
      <c r="D13" s="95" t="n">
        <v>854.8291152497887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74883</v>
      </c>
      <c r="L13" s="50" t="n">
        <v>76259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20921</v>
      </c>
      <c r="R13" s="56" t="n">
        <v>21320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53962</v>
      </c>
      <c r="X13" s="50" t="n">
        <v>54939</v>
      </c>
      <c r="Y13" s="51">
        <f>M13-S13</f>
        <v/>
      </c>
      <c r="Z13" s="52" t="n">
        <v>36</v>
      </c>
      <c r="AA13" s="54">
        <f>X13+Y13+Z13</f>
        <v/>
      </c>
      <c r="AK13" s="57" t="n">
        <v>74848</v>
      </c>
      <c r="AL13" s="50" t="n">
        <v>76224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3618.863522958806</v>
      </c>
      <c r="C14" s="45" t="n">
        <v>3682.383827006646</v>
      </c>
      <c r="D14" s="95" t="n">
        <v>3687.302304891645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250792</v>
      </c>
      <c r="L14" s="50" t="n">
        <v>254915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87609</v>
      </c>
      <c r="R14" s="56" t="n">
        <v>89091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163183</v>
      </c>
      <c r="X14" s="50" t="n">
        <v>165824</v>
      </c>
      <c r="Y14" s="51">
        <f>M14-S14</f>
        <v/>
      </c>
      <c r="Z14" s="52" t="n">
        <v>50</v>
      </c>
      <c r="AA14" s="54">
        <f>X14+Y14+Z14</f>
        <v/>
      </c>
      <c r="AK14" s="57" t="n">
        <v>250685</v>
      </c>
      <c r="AL14" s="50" t="n">
        <v>254807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2784.209246232632</v>
      </c>
      <c r="C15" s="45" t="n">
        <v>2835.289001488414</v>
      </c>
      <c r="D15" s="95" t="n">
        <v>2836.419325198723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242049</v>
      </c>
      <c r="L15" s="50" t="n">
        <v>245644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81794</v>
      </c>
      <c r="R15" s="56" t="n">
        <v>82869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160255</v>
      </c>
      <c r="X15" s="50" t="n">
        <v>162775</v>
      </c>
      <c r="Y15" s="51">
        <f>M15-S15</f>
        <v/>
      </c>
      <c r="Z15" s="52" t="n">
        <v>53</v>
      </c>
      <c r="AA15" s="54">
        <f>X15+Y15+Z15</f>
        <v/>
      </c>
      <c r="AK15" s="57" t="n">
        <v>241934</v>
      </c>
      <c r="AL15" s="50" t="n">
        <v>245528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491.882599210352</v>
      </c>
      <c r="C16" s="45" t="n">
        <v>501.2131743035946</v>
      </c>
      <c r="D16" s="95" t="n">
        <v>501.5297680788422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69723</v>
      </c>
      <c r="L16" s="50" t="n">
        <v>70577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19551</v>
      </c>
      <c r="R16" s="56" t="n">
        <v>19895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50172</v>
      </c>
      <c r="X16" s="50" t="n">
        <v>50682</v>
      </c>
      <c r="Y16" s="51">
        <f>M16-S16</f>
        <v/>
      </c>
      <c r="Z16" s="52" t="n">
        <v>11</v>
      </c>
      <c r="AA16" s="54">
        <f>X16+Y16+Z16</f>
        <v/>
      </c>
      <c r="AK16" s="57" t="n">
        <v>69703</v>
      </c>
      <c r="AL16" s="50" t="n">
        <v>70557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4633.959419739678</v>
      </c>
      <c r="C17" s="45" t="n">
        <v>4713.486669644992</v>
      </c>
      <c r="D17" s="95" t="n">
        <v>4724.666029134628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297960</v>
      </c>
      <c r="L17" s="50" t="n">
        <v>301807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147342</v>
      </c>
      <c r="R17" s="56" t="n">
        <v>149313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150618</v>
      </c>
      <c r="X17" s="50" t="n">
        <v>152494</v>
      </c>
      <c r="Y17" s="51">
        <f>M17-S17</f>
        <v/>
      </c>
      <c r="Z17" s="52" t="n">
        <v>147</v>
      </c>
      <c r="AA17" s="54">
        <f>X17+Y17+Z17</f>
        <v/>
      </c>
      <c r="AK17" s="57" t="n">
        <v>297821</v>
      </c>
      <c r="AL17" s="50" t="n">
        <v>301668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1547.861590581882</v>
      </c>
      <c r="C18" s="45" t="n">
        <v>1573.098595564454</v>
      </c>
      <c r="D18" s="95" t="n">
        <v>1572.656355678367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278678</v>
      </c>
      <c r="L18" s="50" t="n">
        <v>280557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36342</v>
      </c>
      <c r="R18" s="56" t="n">
        <v>37031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242336</v>
      </c>
      <c r="X18" s="50" t="n">
        <v>243526</v>
      </c>
      <c r="Y18" s="51">
        <f>M18-S18</f>
        <v/>
      </c>
      <c r="Z18" s="52" t="n">
        <v>28</v>
      </c>
      <c r="AA18" s="54">
        <f>X18+Y18+Z18</f>
        <v/>
      </c>
      <c r="AK18" s="57" t="n">
        <v>278572</v>
      </c>
      <c r="AL18" s="50" t="n">
        <v>280451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1545.395773493268</v>
      </c>
      <c r="C19" s="45" t="n">
        <v>1571.028225165438</v>
      </c>
      <c r="D19" s="95" t="n">
        <v>1570.82022798039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119491</v>
      </c>
      <c r="L19" s="50" t="n">
        <v>120906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41448</v>
      </c>
      <c r="R19" s="56" t="n">
        <v>41988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78043</v>
      </c>
      <c r="X19" s="50" t="n">
        <v>78918</v>
      </c>
      <c r="Y19" s="51">
        <f>M19-S19</f>
        <v/>
      </c>
      <c r="Z19" s="52" t="n">
        <v>60</v>
      </c>
      <c r="AA19" s="54">
        <f>X19+Y19+Z19</f>
        <v/>
      </c>
      <c r="AK19" s="57" t="n">
        <v>119417</v>
      </c>
      <c r="AL19" s="50" t="n">
        <v>120832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604.7903819751506</v>
      </c>
      <c r="C20" s="45" t="n">
        <v>617.7702205667136</v>
      </c>
      <c r="D20" s="95" t="n">
        <v>617.3656306473773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73472</v>
      </c>
      <c r="L20" s="50" t="n">
        <v>74455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21756</v>
      </c>
      <c r="R20" s="56" t="n">
        <v>22113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51716</v>
      </c>
      <c r="X20" s="50" t="n">
        <v>52342</v>
      </c>
      <c r="Y20" s="51">
        <f>M20-S20</f>
        <v/>
      </c>
      <c r="Z20" s="52" t="n">
        <v>24</v>
      </c>
      <c r="AA20" s="54">
        <f>X20+Y20+Z20</f>
        <v/>
      </c>
      <c r="AK20" s="57" t="n">
        <v>73420</v>
      </c>
      <c r="AL20" s="50" t="n">
        <v>74402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215.1398587777126</v>
      </c>
      <c r="C21" s="45" t="n">
        <v>219.1471072729819</v>
      </c>
      <c r="D21" s="95" t="n">
        <v>219.6671319635565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21703</v>
      </c>
      <c r="L21" s="56" t="n">
        <v>21981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8976</v>
      </c>
      <c r="R21" s="56" t="n">
        <v>9102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12727</v>
      </c>
      <c r="X21" s="50" t="n">
        <v>12879</v>
      </c>
      <c r="Y21" s="51">
        <f>M21-S21</f>
        <v/>
      </c>
      <c r="Z21" s="52" t="n">
        <v>25</v>
      </c>
      <c r="AA21" s="54">
        <f>X21+Y21+Z21</f>
        <v/>
      </c>
      <c r="AK21" s="61" t="n">
        <v>21690</v>
      </c>
      <c r="AL21" s="56" t="n">
        <v>21968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115.90262866992</v>
      </c>
      <c r="C22" s="45" t="n">
        <v>118.773819634203</v>
      </c>
      <c r="D22" s="95" t="n">
        <v>118.4589161458853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10609</v>
      </c>
      <c r="L22" s="50" t="n">
        <v>10778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4051</v>
      </c>
      <c r="R22" s="56" t="n">
        <v>4125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6558</v>
      </c>
      <c r="X22" s="50" t="n">
        <v>6653</v>
      </c>
      <c r="Y22" s="51">
        <f>M22-S22</f>
        <v/>
      </c>
      <c r="Z22" s="52" t="n">
        <v>6</v>
      </c>
      <c r="AA22" s="54">
        <f>X22+Y22+Z22</f>
        <v/>
      </c>
      <c r="AK22" s="57" t="n">
        <v>10592</v>
      </c>
      <c r="AL22" s="50" t="n">
        <v>10761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3397.627816799379</v>
      </c>
      <c r="C23" s="45" t="n">
        <v>3465.781071120112</v>
      </c>
      <c r="D23" s="95" t="n">
        <v>3473.896751507894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386157</v>
      </c>
      <c r="L23" s="50" t="n">
        <v>390414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158436</v>
      </c>
      <c r="R23" s="56" t="n">
        <v>160465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227721</v>
      </c>
      <c r="X23" s="50" t="n">
        <v>229949</v>
      </c>
      <c r="Y23" s="51">
        <f>M23-S23</f>
        <v/>
      </c>
      <c r="Z23" s="52" t="n">
        <v>55</v>
      </c>
      <c r="AA23" s="54">
        <f>X23+Y23+Z23</f>
        <v/>
      </c>
      <c r="AK23" s="57" t="n">
        <v>386046</v>
      </c>
      <c r="AL23" s="50" t="n">
        <v>390303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817.5562563392245</v>
      </c>
      <c r="C24" s="45" t="n">
        <v>833.6040924054017</v>
      </c>
      <c r="D24" s="95" t="n">
        <v>834.3378600447637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93509</v>
      </c>
      <c r="L24" s="50" t="n">
        <v>94826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36216</v>
      </c>
      <c r="R24" s="56" t="n">
        <v>36754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57293</v>
      </c>
      <c r="X24" s="50" t="n">
        <v>58072</v>
      </c>
      <c r="Y24" s="51">
        <f>M24-S24</f>
        <v/>
      </c>
      <c r="Z24" s="52" t="n">
        <v>19</v>
      </c>
      <c r="AA24" s="54">
        <f>X24+Y24+Z24</f>
        <v/>
      </c>
      <c r="AK24" s="57" t="n">
        <v>93469</v>
      </c>
      <c r="AL24" s="50" t="n">
        <v>94786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1048.488862678314</v>
      </c>
      <c r="C25" s="45" t="n">
        <v>1067.69038828039</v>
      </c>
      <c r="D25" s="95" t="n">
        <v>1068.533044994256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143604</v>
      </c>
      <c r="L25" s="50" t="n">
        <v>144773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38239</v>
      </c>
      <c r="R25" s="56" t="n">
        <v>38715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105365</v>
      </c>
      <c r="X25" s="50" t="n">
        <v>106058</v>
      </c>
      <c r="Y25" s="51">
        <f>M25-S25</f>
        <v/>
      </c>
      <c r="Z25" s="52" t="n">
        <v>20</v>
      </c>
      <c r="AA25" s="54">
        <f>X25+Y25+Z25</f>
        <v/>
      </c>
      <c r="AK25" s="57" t="n">
        <v>143570</v>
      </c>
      <c r="AL25" s="50" t="n">
        <v>144738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8701.603640709076</v>
      </c>
      <c r="C26" s="45" t="n">
        <v>8862.706017052711</v>
      </c>
      <c r="D26" s="95" t="n">
        <v>8854.91481212474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158380</v>
      </c>
      <c r="L26" s="50" t="n">
        <v>160558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145493</v>
      </c>
      <c r="R26" s="56" t="n">
        <v>147509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12887</v>
      </c>
      <c r="X26" s="50" t="n">
        <v>13049</v>
      </c>
      <c r="Y26" s="51">
        <f>M26-S26</f>
        <v/>
      </c>
      <c r="Z26" s="52" t="n">
        <v>9</v>
      </c>
      <c r="AA26" s="54">
        <f>X26+Y26+Z26</f>
        <v/>
      </c>
      <c r="AK26" s="57" t="n">
        <v>158206</v>
      </c>
      <c r="AL26" s="50" t="n">
        <v>160384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4270.00290308106</v>
      </c>
      <c r="C27" s="45" t="n">
        <v>4338.900703612503</v>
      </c>
      <c r="D27" s="95" t="n">
        <v>4336.960779749452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268686</v>
      </c>
      <c r="L27" s="50" t="n">
        <v>272209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137473</v>
      </c>
      <c r="R27" s="56" t="n">
        <v>139633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131213</v>
      </c>
      <c r="X27" s="50" t="n">
        <v>132576</v>
      </c>
      <c r="Y27" s="51">
        <f>M27-S27</f>
        <v/>
      </c>
      <c r="Z27" s="52" t="n">
        <v>60</v>
      </c>
      <c r="AA27" s="54">
        <f>X27+Y27+Z27</f>
        <v/>
      </c>
      <c r="AK27" s="57" t="n">
        <v>268528</v>
      </c>
      <c r="AL27" s="50" t="n">
        <v>272051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1408.68275855449</v>
      </c>
      <c r="C28" s="45" t="n">
        <v>1427.186473818665</v>
      </c>
      <c r="D28" s="95" t="n">
        <v>1426.60336380482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42631</v>
      </c>
      <c r="L28" s="50" t="n">
        <v>43214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25835</v>
      </c>
      <c r="R28" s="56" t="n">
        <v>26179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16796</v>
      </c>
      <c r="X28" s="50" t="n">
        <v>17035</v>
      </c>
      <c r="Y28" s="51">
        <f>M28-S28</f>
        <v/>
      </c>
      <c r="Z28" s="52" t="n">
        <v>6</v>
      </c>
      <c r="AA28" s="54">
        <f>X28+Y28+Z28</f>
        <v/>
      </c>
      <c r="AK28" s="57" t="n">
        <v>42600</v>
      </c>
      <c r="AL28" s="50" t="n">
        <v>43183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44.60171946762019</v>
      </c>
      <c r="C29" s="45" t="n">
        <v>45.70807320932455</v>
      </c>
      <c r="D29" s="95" t="n">
        <v>45.65758790843131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3217</v>
      </c>
      <c r="L29" s="50" t="n">
        <v>3266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1212</v>
      </c>
      <c r="R29" s="56" t="n">
        <v>1231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2005</v>
      </c>
      <c r="X29" s="50" t="n">
        <v>2035</v>
      </c>
      <c r="Y29" s="51">
        <f>M29-S29</f>
        <v/>
      </c>
      <c r="Z29" s="52" t="n">
        <v>1</v>
      </c>
      <c r="AA29" s="54">
        <f>X29+Y29+Z29</f>
        <v/>
      </c>
      <c r="AK29" s="57" t="n">
        <v>3211</v>
      </c>
      <c r="AL29" s="50" t="n">
        <v>3260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810.4122590672104</v>
      </c>
      <c r="C30" s="45" t="n">
        <v>828.5853354838582</v>
      </c>
      <c r="D30" s="95" t="n">
        <v>825.9159284155517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79647</v>
      </c>
      <c r="L30" s="50" t="n">
        <v>80711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20368</v>
      </c>
      <c r="R30" s="56" t="n">
        <v>20710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59279</v>
      </c>
      <c r="X30" s="50" t="n">
        <v>60001</v>
      </c>
      <c r="Y30" s="51">
        <f>M30-S30</f>
        <v/>
      </c>
      <c r="Z30" s="52" t="n">
        <v>29</v>
      </c>
      <c r="AA30" s="54">
        <f>X30+Y30+Z30</f>
        <v/>
      </c>
      <c r="AK30" s="57" t="n">
        <v>79614</v>
      </c>
      <c r="AL30" s="50" t="n">
        <v>80678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1631.894335192574</v>
      </c>
      <c r="C31" s="45" t="n">
        <v>1656.677811863122</v>
      </c>
      <c r="D31" s="95" t="n">
        <v>1659.327741584897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158912</v>
      </c>
      <c r="L31" s="50" t="n">
        <v>161430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55158</v>
      </c>
      <c r="R31" s="56" t="n">
        <v>56052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103754</v>
      </c>
      <c r="X31" s="50" t="n">
        <v>105378</v>
      </c>
      <c r="Y31" s="51">
        <f>M31-S31</f>
        <v/>
      </c>
      <c r="Z31" s="52" t="n">
        <v>45</v>
      </c>
      <c r="AA31" s="54">
        <f>X31+Y31+Z31</f>
        <v/>
      </c>
      <c r="AK31" s="57" t="n">
        <v>158839</v>
      </c>
      <c r="AL31" s="50" t="n">
        <v>161354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8254.918719702762</v>
      </c>
      <c r="C32" s="45" t="n">
        <v>8373.911746974012</v>
      </c>
      <c r="D32" s="95" t="n">
        <v>8377.079879750905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321053</v>
      </c>
      <c r="L32" s="50" t="n">
        <v>326769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166705</v>
      </c>
      <c r="R32" s="56" t="n">
        <v>169560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154348</v>
      </c>
      <c r="X32" s="50" t="n">
        <v>157209</v>
      </c>
      <c r="Y32" s="51">
        <f>M32-S32</f>
        <v/>
      </c>
      <c r="Z32" s="52" t="n">
        <v>56</v>
      </c>
      <c r="AA32" s="54">
        <f>X32+Y32+Z32</f>
        <v/>
      </c>
      <c r="AK32" s="57" t="n">
        <v>320895</v>
      </c>
      <c r="AL32" s="50" t="n">
        <v>326611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2017.641614141624</v>
      </c>
      <c r="C33" s="45" t="n">
        <v>2046.497267652839</v>
      </c>
      <c r="D33" s="95" t="n">
        <v>2046.833447287621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97353</v>
      </c>
      <c r="L33" s="50" t="n">
        <v>98757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53681</v>
      </c>
      <c r="R33" s="56" t="n">
        <v>54499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43672</v>
      </c>
      <c r="X33" s="50" t="n">
        <v>44258</v>
      </c>
      <c r="Y33" s="51">
        <f>M33-S33</f>
        <v/>
      </c>
      <c r="Z33" s="52" t="n">
        <v>15</v>
      </c>
      <c r="AA33" s="54">
        <f>X33+Y33+Z33</f>
        <v/>
      </c>
      <c r="AK33" s="57" t="n">
        <v>97298</v>
      </c>
      <c r="AL33" s="50" t="n">
        <v>98702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4115576.014714042</v>
      </c>
      <c r="C34" s="64" t="n">
        <v>4338343.51634229</v>
      </c>
      <c r="D34" s="97" t="n">
        <v>4347423.017997064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45659967</v>
      </c>
      <c r="L34" s="70" t="n">
        <v>46931437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2684821</v>
      </c>
      <c r="R34" s="72" t="n">
        <v>2724653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3640590</v>
      </c>
      <c r="X34" s="70" t="n">
        <v>3684924</v>
      </c>
      <c r="Y34" s="70" t="n">
        <v>240028</v>
      </c>
      <c r="Z34" s="70" t="n">
        <v>1244</v>
      </c>
      <c r="AA34" s="73">
        <f>X34+Y34+Z34</f>
        <v/>
      </c>
      <c r="AB34" s="74" t="n">
        <v>39334556</v>
      </c>
      <c r="AC34" s="75" t="n">
        <v>40521860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6321766</v>
      </c>
      <c r="AL34" s="75" t="n">
        <v>6405918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394.3730511068524</v>
      </c>
      <c r="E35" s="79">
        <f>(C35-B35)+C35</f>
        <v/>
      </c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>
        <f>(C36-B36)+C36</f>
        <v/>
      </c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>
        <f>(C37-B37)+C37</f>
        <v/>
      </c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>
        <f>(C38-B38)+C38</f>
        <v/>
      </c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36167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2081.605055754988</v>
      </c>
      <c r="C3" s="45" t="n">
        <v>2116.064320849857</v>
      </c>
      <c r="D3" s="95" t="n">
        <v>2116.920821925104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160165</v>
      </c>
      <c r="L3" s="50" t="n">
        <v>162839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73266</v>
      </c>
      <c r="R3" s="56" t="n">
        <v>74433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86899</v>
      </c>
      <c r="X3" s="50" t="n">
        <v>88406</v>
      </c>
      <c r="Y3" s="51">
        <f>M3-S3</f>
        <v/>
      </c>
      <c r="Z3" s="52" t="n">
        <v>36</v>
      </c>
      <c r="AA3" s="54">
        <f>X3+Y3+Z3</f>
        <v/>
      </c>
      <c r="AK3" s="57" t="n">
        <v>160091</v>
      </c>
      <c r="AL3" s="50" t="n">
        <v>162765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89737.58998390286</v>
      </c>
      <c r="C4" s="45" t="n">
        <v>92240.54867084228</v>
      </c>
      <c r="D4" s="95" t="n">
        <v>93008.91996222989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174835</v>
      </c>
      <c r="L4" s="50" t="n">
        <v>176937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167100</v>
      </c>
      <c r="R4" s="56" t="n">
        <v>169082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7735</v>
      </c>
      <c r="X4" s="50" t="n">
        <v>7855</v>
      </c>
      <c r="Y4" s="51">
        <f>M4-S4</f>
        <v/>
      </c>
      <c r="Z4" s="52" t="n">
        <v>6</v>
      </c>
      <c r="AA4" s="54">
        <f>X4+Y4+Z4</f>
        <v/>
      </c>
      <c r="AK4" s="57" t="n">
        <v>174471</v>
      </c>
      <c r="AL4" s="50" t="n">
        <v>176572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2777.807874064326</v>
      </c>
      <c r="C5" s="45" t="n">
        <v>2826.671207336373</v>
      </c>
      <c r="D5" s="95" t="n">
        <v>2823.250108850402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324034</v>
      </c>
      <c r="L5" s="50" t="n">
        <v>328180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98046</v>
      </c>
      <c r="R5" s="56" t="n">
        <v>99235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225988</v>
      </c>
      <c r="X5" s="50" t="n">
        <v>228945</v>
      </c>
      <c r="Y5" s="51">
        <f>M5-S5</f>
        <v/>
      </c>
      <c r="Z5" s="52" t="n">
        <v>38</v>
      </c>
      <c r="AA5" s="54">
        <f>X5+Y5+Z5</f>
        <v/>
      </c>
      <c r="AK5" s="57" t="n">
        <v>323917</v>
      </c>
      <c r="AL5" s="50" t="n">
        <v>328063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442.4334642768769</v>
      </c>
      <c r="C6" s="45" t="n">
        <v>451.4965653133163</v>
      </c>
      <c r="D6" s="95" t="n">
        <v>451.3484144537107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53473</v>
      </c>
      <c r="L6" s="56" t="n">
        <v>54242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20657</v>
      </c>
      <c r="R6" s="56" t="n">
        <v>20960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32816</v>
      </c>
      <c r="X6" s="50" t="n">
        <v>33282</v>
      </c>
      <c r="Y6" s="51">
        <f>M6-S6</f>
        <v/>
      </c>
      <c r="Z6" s="52" t="n">
        <v>4</v>
      </c>
      <c r="AA6" s="54">
        <f>X6+Y6+Z6</f>
        <v/>
      </c>
      <c r="AK6" s="61" t="n">
        <v>53456</v>
      </c>
      <c r="AL6" s="56" t="n">
        <v>54225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13824.0019813928</v>
      </c>
      <c r="C7" s="45" t="n">
        <v>14063.66394671538</v>
      </c>
      <c r="D7" s="95" t="n">
        <v>14064.23225150525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748895</v>
      </c>
      <c r="L7" s="50" t="n">
        <v>761138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392749</v>
      </c>
      <c r="R7" s="56" t="n">
        <v>399352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356146</v>
      </c>
      <c r="X7" s="50" t="n">
        <v>361786</v>
      </c>
      <c r="Y7" s="51">
        <f>M7-S7</f>
        <v/>
      </c>
      <c r="Z7" s="52" t="n">
        <v>96</v>
      </c>
      <c r="AA7" s="54">
        <f>X7+Y7+Z7</f>
        <v/>
      </c>
      <c r="AK7" s="57" t="n">
        <v>748448</v>
      </c>
      <c r="AL7" s="50" t="n">
        <v>760691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1629.840929604599</v>
      </c>
      <c r="C8" s="45" t="n">
        <v>1657.084845876519</v>
      </c>
      <c r="D8" s="95" t="n">
        <v>1655.790508804338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130560</v>
      </c>
      <c r="L8" s="50" t="n">
        <v>132267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53608</v>
      </c>
      <c r="R8" s="56" t="n">
        <v>54289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76952</v>
      </c>
      <c r="X8" s="50" t="n">
        <v>77978</v>
      </c>
      <c r="Y8" s="51">
        <f>M8-S8</f>
        <v/>
      </c>
      <c r="Z8" s="52" t="n">
        <v>23</v>
      </c>
      <c r="AA8" s="54">
        <f>X8+Y8+Z8</f>
        <v/>
      </c>
      <c r="AK8" s="57" t="n">
        <v>130494</v>
      </c>
      <c r="AL8" s="50" t="n">
        <v>132200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2597.94535972947</v>
      </c>
      <c r="C9" s="45" t="n">
        <v>2613.678291563197</v>
      </c>
      <c r="D9" s="95" t="n">
        <v>2612.99764095599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89432</v>
      </c>
      <c r="L9" s="50" t="n">
        <v>90662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40038</v>
      </c>
      <c r="R9" s="56" t="n">
        <v>40546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49394</v>
      </c>
      <c r="X9" s="50" t="n">
        <v>50116</v>
      </c>
      <c r="Y9" s="51">
        <f>M9-S9</f>
        <v/>
      </c>
      <c r="Z9" s="52" t="n">
        <v>27</v>
      </c>
      <c r="AA9" s="54">
        <f>X9+Y9+Z9</f>
        <v/>
      </c>
      <c r="AK9" s="57" t="n">
        <v>89394</v>
      </c>
      <c r="AL9" s="50" t="n">
        <v>90624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2768.767757785266</v>
      </c>
      <c r="C10" s="45" t="n">
        <v>2810.988199622034</v>
      </c>
      <c r="D10" s="95" t="n">
        <v>2807.007291502308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219578</v>
      </c>
      <c r="L10" s="50" t="n">
        <v>221460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37565</v>
      </c>
      <c r="R10" s="56" t="n">
        <v>38144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182013</v>
      </c>
      <c r="X10" s="50" t="n">
        <v>183316</v>
      </c>
      <c r="Y10" s="51">
        <f>M10-S10</f>
        <v/>
      </c>
      <c r="Z10" s="52" t="n">
        <v>44</v>
      </c>
      <c r="AA10" s="54">
        <f>X10+Y10+Z10</f>
        <v/>
      </c>
      <c r="AK10" s="57" t="n">
        <v>219555</v>
      </c>
      <c r="AL10" s="50" t="n">
        <v>221437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1568.375568333451</v>
      </c>
      <c r="C11" s="45" t="n">
        <v>1602.434408216454</v>
      </c>
      <c r="D11" s="95" t="n">
        <v>1600.215687431022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190312</v>
      </c>
      <c r="L11" s="50" t="n">
        <v>193388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70008</v>
      </c>
      <c r="R11" s="56" t="n">
        <v>71127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120304</v>
      </c>
      <c r="X11" s="50" t="n">
        <v>122261</v>
      </c>
      <c r="Y11" s="51">
        <f>M11-S11</f>
        <v/>
      </c>
      <c r="Z11" s="52" t="n">
        <v>53</v>
      </c>
      <c r="AA11" s="54">
        <f>X11+Y11+Z11</f>
        <v/>
      </c>
      <c r="AK11" s="57" t="n">
        <v>190237</v>
      </c>
      <c r="AL11" s="50" t="n">
        <v>193313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2861.010969019974</v>
      </c>
      <c r="C12" s="45" t="n">
        <v>2931.306531083284</v>
      </c>
      <c r="D12" s="95" t="n">
        <v>2918.040321920087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287024</v>
      </c>
      <c r="L12" s="50" t="n">
        <v>292086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113575</v>
      </c>
      <c r="R12" s="56" t="n">
        <v>115201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173449</v>
      </c>
      <c r="X12" s="50" t="n">
        <v>176885</v>
      </c>
      <c r="Y12" s="51">
        <f>M12-S12</f>
        <v/>
      </c>
      <c r="Z12" s="52" t="n">
        <v>64</v>
      </c>
      <c r="AA12" s="54">
        <f>X12+Y12+Z12</f>
        <v/>
      </c>
      <c r="AK12" s="57" t="n">
        <v>286882</v>
      </c>
      <c r="AL12" s="50" t="n">
        <v>291942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820.1156500088863</v>
      </c>
      <c r="C13" s="45" t="n">
        <v>837.4723826293375</v>
      </c>
      <c r="D13" s="95" t="n">
        <v>837.6363942975094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73573</v>
      </c>
      <c r="L13" s="50" t="n">
        <v>74883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20544</v>
      </c>
      <c r="R13" s="56" t="n">
        <v>20921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53029</v>
      </c>
      <c r="X13" s="50" t="n">
        <v>53962</v>
      </c>
      <c r="Y13" s="51">
        <f>M13-S13</f>
        <v/>
      </c>
      <c r="Z13" s="52" t="n">
        <v>36</v>
      </c>
      <c r="AA13" s="54">
        <f>X13+Y13+Z13</f>
        <v/>
      </c>
      <c r="AK13" s="57" t="n">
        <v>73538</v>
      </c>
      <c r="AL13" s="50" t="n">
        <v>74848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3550.424741025967</v>
      </c>
      <c r="C14" s="45" t="n">
        <v>3618.863522958806</v>
      </c>
      <c r="D14" s="95" t="n">
        <v>3615.679939850066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244888</v>
      </c>
      <c r="L14" s="50" t="n">
        <v>250792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85985</v>
      </c>
      <c r="R14" s="56" t="n">
        <v>87609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158903</v>
      </c>
      <c r="X14" s="50" t="n">
        <v>163183</v>
      </c>
      <c r="Y14" s="51">
        <f>M14-S14</f>
        <v/>
      </c>
      <c r="Z14" s="52" t="n">
        <v>50</v>
      </c>
      <c r="AA14" s="54">
        <f>X14+Y14+Z14</f>
        <v/>
      </c>
      <c r="AK14" s="57" t="n">
        <v>244781</v>
      </c>
      <c r="AL14" s="50" t="n">
        <v>250685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2731.999167266542</v>
      </c>
      <c r="C15" s="45" t="n">
        <v>2784.209246232632</v>
      </c>
      <c r="D15" s="95" t="n">
        <v>2782.233833927906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237796</v>
      </c>
      <c r="L15" s="50" t="n">
        <v>242049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80557</v>
      </c>
      <c r="R15" s="56" t="n">
        <v>81794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157239</v>
      </c>
      <c r="X15" s="50" t="n">
        <v>160255</v>
      </c>
      <c r="Y15" s="51">
        <f>M15-S15</f>
        <v/>
      </c>
      <c r="Z15" s="52" t="n">
        <v>53</v>
      </c>
      <c r="AA15" s="54">
        <f>X15+Y15+Z15</f>
        <v/>
      </c>
      <c r="AK15" s="57" t="n">
        <v>237681</v>
      </c>
      <c r="AL15" s="50" t="n">
        <v>241934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482.2354303418618</v>
      </c>
      <c r="C16" s="45" t="n">
        <v>491.882599210352</v>
      </c>
      <c r="D16" s="95" t="n">
        <v>493.1237068223504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68577</v>
      </c>
      <c r="L16" s="50" t="n">
        <v>69723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19286</v>
      </c>
      <c r="R16" s="56" t="n">
        <v>19551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49291</v>
      </c>
      <c r="X16" s="50" t="n">
        <v>50172</v>
      </c>
      <c r="Y16" s="51">
        <f>M16-S16</f>
        <v/>
      </c>
      <c r="Z16" s="52" t="n">
        <v>11</v>
      </c>
      <c r="AA16" s="54">
        <f>X16+Y16+Z16</f>
        <v/>
      </c>
      <c r="AK16" s="57" t="n">
        <v>68557</v>
      </c>
      <c r="AL16" s="50" t="n">
        <v>69703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4543.252810344728</v>
      </c>
      <c r="C17" s="45" t="n">
        <v>4633.959419739678</v>
      </c>
      <c r="D17" s="95" t="n">
        <v>4627.457648891635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293581</v>
      </c>
      <c r="L17" s="50" t="n">
        <v>297960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145224</v>
      </c>
      <c r="R17" s="56" t="n">
        <v>147342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148357</v>
      </c>
      <c r="X17" s="50" t="n">
        <v>150618</v>
      </c>
      <c r="Y17" s="51">
        <f>M17-S17</f>
        <v/>
      </c>
      <c r="Z17" s="52" t="n">
        <v>147</v>
      </c>
      <c r="AA17" s="54">
        <f>X17+Y17+Z17</f>
        <v/>
      </c>
      <c r="AK17" s="57" t="n">
        <v>293442</v>
      </c>
      <c r="AL17" s="50" t="n">
        <v>297821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1523.066825485396</v>
      </c>
      <c r="C18" s="45" t="n">
        <v>1547.861590581882</v>
      </c>
      <c r="D18" s="95" t="n">
        <v>1546.197823466651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276834</v>
      </c>
      <c r="L18" s="50" t="n">
        <v>278678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35678</v>
      </c>
      <c r="R18" s="56" t="n">
        <v>36342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241156</v>
      </c>
      <c r="X18" s="50" t="n">
        <v>242336</v>
      </c>
      <c r="Y18" s="51">
        <f>M18-S18</f>
        <v/>
      </c>
      <c r="Z18" s="52" t="n">
        <v>28</v>
      </c>
      <c r="AA18" s="54">
        <f>X18+Y18+Z18</f>
        <v/>
      </c>
      <c r="AK18" s="57" t="n">
        <v>276728</v>
      </c>
      <c r="AL18" s="50" t="n">
        <v>278572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1519.971319006146</v>
      </c>
      <c r="C19" s="45" t="n">
        <v>1545.395773493268</v>
      </c>
      <c r="D19" s="95" t="n">
        <v>1545.31013421184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117916</v>
      </c>
      <c r="L19" s="50" t="n">
        <v>119491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40921</v>
      </c>
      <c r="R19" s="56" t="n">
        <v>41448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76995</v>
      </c>
      <c r="X19" s="50" t="n">
        <v>78043</v>
      </c>
      <c r="Y19" s="51">
        <f>M19-S19</f>
        <v/>
      </c>
      <c r="Z19" s="52" t="n">
        <v>60</v>
      </c>
      <c r="AA19" s="54">
        <f>X19+Y19+Z19</f>
        <v/>
      </c>
      <c r="AK19" s="57" t="n">
        <v>117842</v>
      </c>
      <c r="AL19" s="50" t="n">
        <v>119417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592.2151333029238</v>
      </c>
      <c r="C20" s="45" t="n">
        <v>604.7903819751506</v>
      </c>
      <c r="D20" s="95" t="n">
        <v>603.7195366310076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72394</v>
      </c>
      <c r="L20" s="50" t="n">
        <v>73472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21404</v>
      </c>
      <c r="R20" s="56" t="n">
        <v>21756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50990</v>
      </c>
      <c r="X20" s="50" t="n">
        <v>51716</v>
      </c>
      <c r="Y20" s="51">
        <f>M20-S20</f>
        <v/>
      </c>
      <c r="Z20" s="52" t="n">
        <v>24</v>
      </c>
      <c r="AA20" s="54">
        <f>X20+Y20+Z20</f>
        <v/>
      </c>
      <c r="AK20" s="57" t="n">
        <v>72342</v>
      </c>
      <c r="AL20" s="50" t="n">
        <v>73420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210.6125855918686</v>
      </c>
      <c r="C21" s="45" t="n">
        <v>215.1398587777126</v>
      </c>
      <c r="D21" s="95" t="n">
        <v>214.82635042022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21405</v>
      </c>
      <c r="L21" s="56" t="n">
        <v>21703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8826</v>
      </c>
      <c r="R21" s="56" t="n">
        <v>8976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12579</v>
      </c>
      <c r="X21" s="50" t="n">
        <v>12727</v>
      </c>
      <c r="Y21" s="51">
        <f>M21-S21</f>
        <v/>
      </c>
      <c r="Z21" s="52" t="n">
        <v>25</v>
      </c>
      <c r="AA21" s="54">
        <f>X21+Y21+Z21</f>
        <v/>
      </c>
      <c r="AK21" s="61" t="n">
        <v>21392</v>
      </c>
      <c r="AL21" s="56" t="n">
        <v>21690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113.3463411939548</v>
      </c>
      <c r="C22" s="45" t="n">
        <v>115.90262866992</v>
      </c>
      <c r="D22" s="95" t="n">
        <v>115.6710893517036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10405</v>
      </c>
      <c r="L22" s="50" t="n">
        <v>10609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3966</v>
      </c>
      <c r="R22" s="56" t="n">
        <v>4051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6439</v>
      </c>
      <c r="X22" s="50" t="n">
        <v>6558</v>
      </c>
      <c r="Y22" s="51">
        <f>M22-S22</f>
        <v/>
      </c>
      <c r="Z22" s="52" t="n">
        <v>6</v>
      </c>
      <c r="AA22" s="54">
        <f>X22+Y22+Z22</f>
        <v/>
      </c>
      <c r="AK22" s="57" t="n">
        <v>10388</v>
      </c>
      <c r="AL22" s="50" t="n">
        <v>10592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3321.358882090864</v>
      </c>
      <c r="C23" s="45" t="n">
        <v>3397.627816799379</v>
      </c>
      <c r="D23" s="95" t="n">
        <v>3390.95881272677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381272</v>
      </c>
      <c r="L23" s="50" t="n">
        <v>386157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156209</v>
      </c>
      <c r="R23" s="56" t="n">
        <v>158436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225063</v>
      </c>
      <c r="X23" s="50" t="n">
        <v>227721</v>
      </c>
      <c r="Y23" s="51">
        <f>M23-S23</f>
        <v/>
      </c>
      <c r="Z23" s="52" t="n">
        <v>55</v>
      </c>
      <c r="AA23" s="54">
        <f>X23+Y23+Z23</f>
        <v/>
      </c>
      <c r="AK23" s="57" t="n">
        <v>381161</v>
      </c>
      <c r="AL23" s="50" t="n">
        <v>386046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800.7746526336854</v>
      </c>
      <c r="C24" s="45" t="n">
        <v>817.5562563392245</v>
      </c>
      <c r="D24" s="95" t="n">
        <v>816.0630208175385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91999</v>
      </c>
      <c r="L24" s="50" t="n">
        <v>93509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35640</v>
      </c>
      <c r="R24" s="56" t="n">
        <v>36216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56359</v>
      </c>
      <c r="X24" s="50" t="n">
        <v>57293</v>
      </c>
      <c r="Y24" s="51">
        <f>M24-S24</f>
        <v/>
      </c>
      <c r="Z24" s="52" t="n">
        <v>19</v>
      </c>
      <c r="AA24" s="54">
        <f>X24+Y24+Z24</f>
        <v/>
      </c>
      <c r="AK24" s="57" t="n">
        <v>91959</v>
      </c>
      <c r="AL24" s="50" t="n">
        <v>93469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1028.444680362373</v>
      </c>
      <c r="C25" s="45" t="n">
        <v>1048.488862678314</v>
      </c>
      <c r="D25" s="95" t="n">
        <v>1047.663570401815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142241</v>
      </c>
      <c r="L25" s="50" t="n">
        <v>143604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37646</v>
      </c>
      <c r="R25" s="56" t="n">
        <v>38239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104595</v>
      </c>
      <c r="X25" s="50" t="n">
        <v>105365</v>
      </c>
      <c r="Y25" s="51">
        <f>M25-S25</f>
        <v/>
      </c>
      <c r="Z25" s="52" t="n">
        <v>20</v>
      </c>
      <c r="AA25" s="54">
        <f>X25+Y25+Z25</f>
        <v/>
      </c>
      <c r="AK25" s="57" t="n">
        <v>142207</v>
      </c>
      <c r="AL25" s="50" t="n">
        <v>143570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8548.292469293412</v>
      </c>
      <c r="C26" s="45" t="n">
        <v>8701.603640709076</v>
      </c>
      <c r="D26" s="95" t="n">
        <v>8711.935852293871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156345</v>
      </c>
      <c r="L26" s="50" t="n">
        <v>158380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143625</v>
      </c>
      <c r="R26" s="56" t="n">
        <v>145493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12720</v>
      </c>
      <c r="X26" s="50" t="n">
        <v>12887</v>
      </c>
      <c r="Y26" s="51">
        <f>M26-S26</f>
        <v/>
      </c>
      <c r="Z26" s="52" t="n">
        <v>9</v>
      </c>
      <c r="AA26" s="54">
        <f>X26+Y26+Z26</f>
        <v/>
      </c>
      <c r="AK26" s="57" t="n">
        <v>156171</v>
      </c>
      <c r="AL26" s="50" t="n">
        <v>158206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4203.045026412668</v>
      </c>
      <c r="C27" s="45" t="n">
        <v>4270.00290308106</v>
      </c>
      <c r="D27" s="95" t="n">
        <v>4268.487241262535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264529</v>
      </c>
      <c r="L27" s="50" t="n">
        <v>268686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135379</v>
      </c>
      <c r="R27" s="56" t="n">
        <v>137473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129150</v>
      </c>
      <c r="X27" s="50" t="n">
        <v>131213</v>
      </c>
      <c r="Y27" s="51">
        <f>M27-S27</f>
        <v/>
      </c>
      <c r="Z27" s="52" t="n">
        <v>60</v>
      </c>
      <c r="AA27" s="54">
        <f>X27+Y27+Z27</f>
        <v/>
      </c>
      <c r="AK27" s="57" t="n">
        <v>264371</v>
      </c>
      <c r="AL27" s="50" t="n">
        <v>268528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1390.76215330416</v>
      </c>
      <c r="C28" s="45" t="n">
        <v>1408.68275855449</v>
      </c>
      <c r="D28" s="95" t="n">
        <v>1408.004185741224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41928</v>
      </c>
      <c r="L28" s="50" t="n">
        <v>42631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25416</v>
      </c>
      <c r="R28" s="56" t="n">
        <v>25835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16512</v>
      </c>
      <c r="X28" s="50" t="n">
        <v>16796</v>
      </c>
      <c r="Y28" s="51">
        <f>M28-S28</f>
        <v/>
      </c>
      <c r="Z28" s="52" t="n">
        <v>6</v>
      </c>
      <c r="AA28" s="54">
        <f>X28+Y28+Z28</f>
        <v/>
      </c>
      <c r="AK28" s="57" t="n">
        <v>41897</v>
      </c>
      <c r="AL28" s="50" t="n">
        <v>42600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43.54585102680907</v>
      </c>
      <c r="C29" s="45" t="n">
        <v>44.60171946762019</v>
      </c>
      <c r="D29" s="95" t="n">
        <v>44.57684438321121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3173</v>
      </c>
      <c r="L29" s="50" t="n">
        <v>3217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1202</v>
      </c>
      <c r="R29" s="56" t="n">
        <v>1212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1971</v>
      </c>
      <c r="X29" s="50" t="n">
        <v>2005</v>
      </c>
      <c r="Y29" s="51">
        <f>M29-S29</f>
        <v/>
      </c>
      <c r="Z29" s="52" t="n">
        <v>1</v>
      </c>
      <c r="AA29" s="54">
        <f>X29+Y29+Z29</f>
        <v/>
      </c>
      <c r="AK29" s="57" t="n">
        <v>3167</v>
      </c>
      <c r="AL29" s="50" t="n">
        <v>3211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794.9085897188691</v>
      </c>
      <c r="C30" s="45" t="n">
        <v>810.4122590672104</v>
      </c>
      <c r="D30" s="95" t="n">
        <v>809.4173042272135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78351</v>
      </c>
      <c r="L30" s="50" t="n">
        <v>79647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20017</v>
      </c>
      <c r="R30" s="56" t="n">
        <v>20368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58334</v>
      </c>
      <c r="X30" s="50" t="n">
        <v>59279</v>
      </c>
      <c r="Y30" s="51">
        <f>M30-S30</f>
        <v/>
      </c>
      <c r="Z30" s="52" t="n">
        <v>29</v>
      </c>
      <c r="AA30" s="54">
        <f>X30+Y30+Z30</f>
        <v/>
      </c>
      <c r="AK30" s="57" t="n">
        <v>78318</v>
      </c>
      <c r="AL30" s="50" t="n">
        <v>79614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1604.46092880025</v>
      </c>
      <c r="C31" s="45" t="n">
        <v>1631.894335192574</v>
      </c>
      <c r="D31" s="95" t="n">
        <v>1630.711604324863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155857</v>
      </c>
      <c r="L31" s="50" t="n">
        <v>158912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54159</v>
      </c>
      <c r="R31" s="56" t="n">
        <v>55158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101698</v>
      </c>
      <c r="X31" s="50" t="n">
        <v>103754</v>
      </c>
      <c r="Y31" s="51">
        <f>M31-S31</f>
        <v/>
      </c>
      <c r="Z31" s="52" t="n">
        <v>45</v>
      </c>
      <c r="AA31" s="54">
        <f>X31+Y31+Z31</f>
        <v/>
      </c>
      <c r="AK31" s="57" t="n">
        <v>155784</v>
      </c>
      <c r="AL31" s="50" t="n">
        <v>158839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8132.75755965462</v>
      </c>
      <c r="C32" s="45" t="n">
        <v>8254.918719702762</v>
      </c>
      <c r="D32" s="95" t="n">
        <v>8250.282865660494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315366</v>
      </c>
      <c r="L32" s="50" t="n">
        <v>321053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163857</v>
      </c>
      <c r="R32" s="56" t="n">
        <v>166705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151509</v>
      </c>
      <c r="X32" s="50" t="n">
        <v>154348</v>
      </c>
      <c r="Y32" s="51">
        <f>M32-S32</f>
        <v/>
      </c>
      <c r="Z32" s="52" t="n">
        <v>56</v>
      </c>
      <c r="AA32" s="54">
        <f>X32+Y32+Z32</f>
        <v/>
      </c>
      <c r="AK32" s="57" t="n">
        <v>315208</v>
      </c>
      <c r="AL32" s="50" t="n">
        <v>320895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1988.449780995626</v>
      </c>
      <c r="C33" s="45" t="n">
        <v>2017.641614141624</v>
      </c>
      <c r="D33" s="95" t="n">
        <v>2019.597950607144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95893</v>
      </c>
      <c r="L33" s="50" t="n">
        <v>97353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52896</v>
      </c>
      <c r="R33" s="56" t="n">
        <v>53681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42997</v>
      </c>
      <c r="X33" s="50" t="n">
        <v>43672</v>
      </c>
      <c r="Y33" s="51">
        <f>M33-S33</f>
        <v/>
      </c>
      <c r="Z33" s="52" t="n">
        <v>15</v>
      </c>
      <c r="AA33" s="54">
        <f>X33+Y33+Z33</f>
        <v/>
      </c>
      <c r="AK33" s="57" t="n">
        <v>95839</v>
      </c>
      <c r="AL33" s="50" t="n">
        <v>97298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3883729.011431021</v>
      </c>
      <c r="C34" s="64" t="n">
        <v>4115576.014714042</v>
      </c>
      <c r="D34" s="97" t="n">
        <v>4106410.488347342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44274694</v>
      </c>
      <c r="L34" s="70" t="n">
        <v>45659967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2645210</v>
      </c>
      <c r="R34" s="72" t="n">
        <v>2684821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3589307</v>
      </c>
      <c r="X34" s="70" t="n">
        <v>3640590</v>
      </c>
      <c r="Y34" s="70" t="n">
        <v>240028</v>
      </c>
      <c r="Z34" s="70" t="n">
        <v>1244</v>
      </c>
      <c r="AA34" s="73">
        <f>X34+Y34+Z34</f>
        <v/>
      </c>
      <c r="AB34" s="74" t="n">
        <v>38040177</v>
      </c>
      <c r="AC34" s="75" t="n">
        <v>39334556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6230872</v>
      </c>
      <c r="AL34" s="75" t="n">
        <v>6321766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/>
      <c r="C35" s="79" t="n"/>
      <c r="D35" s="100" t="n">
        <v>394.3730511068524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35618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E7" sqref="E7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9.5" bestFit="1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2046.289289584873</v>
      </c>
      <c r="C3" s="45" t="n">
        <v>2081.605055754988</v>
      </c>
      <c r="D3" s="95" t="n">
        <v>2082.781132257486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157373</v>
      </c>
      <c r="L3" s="50" t="n">
        <v>160165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72125</v>
      </c>
      <c r="R3" s="56" t="n">
        <v>73266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85248</v>
      </c>
      <c r="X3" s="50" t="n">
        <v>86899</v>
      </c>
      <c r="Y3" s="51">
        <f>M3-S3</f>
        <v/>
      </c>
      <c r="Z3" s="52" t="n">
        <v>36</v>
      </c>
      <c r="AA3" s="54">
        <f>X3+Y3+Z3</f>
        <v/>
      </c>
      <c r="AK3" s="57" t="n">
        <v>157299</v>
      </c>
      <c r="AL3" s="50" t="n">
        <v>160091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86466.26000557582</v>
      </c>
      <c r="C4" s="45" t="n">
        <v>89737.58998390286</v>
      </c>
      <c r="D4" s="95" t="n">
        <v>88888.47187375699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172482</v>
      </c>
      <c r="L4" s="50" t="n">
        <v>174835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164885</v>
      </c>
      <c r="R4" s="56" t="n">
        <v>167100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7597</v>
      </c>
      <c r="X4" s="50" t="n">
        <v>7735</v>
      </c>
      <c r="Y4" s="51">
        <f>M4-S4</f>
        <v/>
      </c>
      <c r="Z4" s="52" t="n">
        <v>6</v>
      </c>
      <c r="AA4" s="54">
        <f>X4+Y4+Z4</f>
        <v/>
      </c>
      <c r="AK4" s="57" t="n">
        <v>172119</v>
      </c>
      <c r="AL4" s="50" t="n">
        <v>174471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2732.36563927825</v>
      </c>
      <c r="C5" s="45" t="n">
        <v>2777.807874064326</v>
      </c>
      <c r="D5" s="95" t="n">
        <v>2780.285729877893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319888</v>
      </c>
      <c r="L5" s="50" t="n">
        <v>324034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96685</v>
      </c>
      <c r="R5" s="56" t="n">
        <v>98046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223203</v>
      </c>
      <c r="X5" s="50" t="n">
        <v>225988</v>
      </c>
      <c r="Y5" s="51">
        <f>M5-S5</f>
        <v/>
      </c>
      <c r="Z5" s="52" t="n">
        <v>38</v>
      </c>
      <c r="AA5" s="54">
        <f>X5+Y5+Z5</f>
        <v/>
      </c>
      <c r="AK5" s="57" t="n">
        <v>319771</v>
      </c>
      <c r="AL5" s="50" t="n">
        <v>323917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433.518514100043</v>
      </c>
      <c r="C6" s="45" t="n">
        <v>442.4334642768769</v>
      </c>
      <c r="D6" s="95" t="n">
        <v>442.2569846054316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52714</v>
      </c>
      <c r="L6" s="56" t="n">
        <v>53473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20348</v>
      </c>
      <c r="R6" s="56" t="n">
        <v>20657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32366</v>
      </c>
      <c r="X6" s="50" t="n">
        <v>32816</v>
      </c>
      <c r="Y6" s="51">
        <f>M6-S6</f>
        <v/>
      </c>
      <c r="Z6" s="52" t="n">
        <v>4</v>
      </c>
      <c r="AA6" s="54">
        <f>X6+Y6+Z6</f>
        <v/>
      </c>
      <c r="AK6" s="61" t="n">
        <v>52697</v>
      </c>
      <c r="AL6" s="56" t="n">
        <v>53456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13583.77171128035</v>
      </c>
      <c r="C7" s="45" t="n">
        <v>13824.0019813928</v>
      </c>
      <c r="D7" s="95" t="n">
        <v>13832.60429889189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735498</v>
      </c>
      <c r="L7" s="50" t="n">
        <v>748895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385671</v>
      </c>
      <c r="R7" s="56" t="n">
        <v>392749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349827</v>
      </c>
      <c r="X7" s="50" t="n">
        <v>356146</v>
      </c>
      <c r="Y7" s="51">
        <f>M7-S7</f>
        <v/>
      </c>
      <c r="Z7" s="52" t="n">
        <v>96</v>
      </c>
      <c r="AA7" s="54">
        <f>X7+Y7+Z7</f>
        <v/>
      </c>
      <c r="AK7" s="57" t="n">
        <v>735051</v>
      </c>
      <c r="AL7" s="50" t="n">
        <v>748448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1603.891350404861</v>
      </c>
      <c r="C8" s="45" t="n">
        <v>1629.840929604599</v>
      </c>
      <c r="D8" s="95" t="n">
        <v>1632.010566659067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128956</v>
      </c>
      <c r="L8" s="50" t="n">
        <v>130560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52969</v>
      </c>
      <c r="R8" s="56" t="n">
        <v>53608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75987</v>
      </c>
      <c r="X8" s="50" t="n">
        <v>76952</v>
      </c>
      <c r="Y8" s="51">
        <f>M8-S8</f>
        <v/>
      </c>
      <c r="Z8" s="52" t="n">
        <v>23</v>
      </c>
      <c r="AA8" s="54">
        <f>X8+Y8+Z8</f>
        <v/>
      </c>
      <c r="AK8" s="57" t="n">
        <v>128890</v>
      </c>
      <c r="AL8" s="50" t="n">
        <v>130494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2582.893078502949</v>
      </c>
      <c r="C9" s="45" t="n">
        <v>2597.94535972947</v>
      </c>
      <c r="D9" s="95" t="n">
        <v>2596.869361258206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88219</v>
      </c>
      <c r="L9" s="50" t="n">
        <v>89432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39523</v>
      </c>
      <c r="R9" s="56" t="n">
        <v>40038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48696</v>
      </c>
      <c r="X9" s="50" t="n">
        <v>49394</v>
      </c>
      <c r="Y9" s="51">
        <f>M9-S9</f>
        <v/>
      </c>
      <c r="Z9" s="52" t="n">
        <v>27</v>
      </c>
      <c r="AA9" s="54">
        <f>X9+Y9+Z9</f>
        <v/>
      </c>
      <c r="AK9" s="57" t="n">
        <v>88181</v>
      </c>
      <c r="AL9" s="50" t="n">
        <v>89394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2730.528224068223</v>
      </c>
      <c r="C10" s="45" t="n">
        <v>2768.767757785266</v>
      </c>
      <c r="D10" s="95" t="n">
        <v>2783.635336586806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217413</v>
      </c>
      <c r="L10" s="50" t="n">
        <v>219578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36919</v>
      </c>
      <c r="R10" s="56" t="n">
        <v>37565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180494</v>
      </c>
      <c r="X10" s="50" t="n">
        <v>182013</v>
      </c>
      <c r="Y10" s="51">
        <f>M10-S10</f>
        <v/>
      </c>
      <c r="Z10" s="52" t="n">
        <v>44</v>
      </c>
      <c r="AA10" s="54">
        <f>X10+Y10+Z10</f>
        <v/>
      </c>
      <c r="AK10" s="57" t="n">
        <v>217390</v>
      </c>
      <c r="AL10" s="50" t="n">
        <v>219555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1536.535449235881</v>
      </c>
      <c r="C11" s="45" t="n">
        <v>1568.375568333451</v>
      </c>
      <c r="D11" s="95" t="n">
        <v>1568.906654561617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186946</v>
      </c>
      <c r="L11" s="50" t="n">
        <v>190312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68659</v>
      </c>
      <c r="R11" s="56" t="n">
        <v>70008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118287</v>
      </c>
      <c r="X11" s="50" t="n">
        <v>120304</v>
      </c>
      <c r="Y11" s="51">
        <f>M11-S11</f>
        <v/>
      </c>
      <c r="Z11" s="52" t="n">
        <v>53</v>
      </c>
      <c r="AA11" s="54">
        <f>X11+Y11+Z11</f>
        <v/>
      </c>
      <c r="AK11" s="57" t="n">
        <v>186871</v>
      </c>
      <c r="AL11" s="50" t="n">
        <v>190237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2803.981616119861</v>
      </c>
      <c r="C12" s="45" t="n">
        <v>2861.010969019974</v>
      </c>
      <c r="D12" s="95" t="n">
        <v>2869.70204099046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280484</v>
      </c>
      <c r="L12" s="50" t="n">
        <v>287024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111782</v>
      </c>
      <c r="R12" s="56" t="n">
        <v>113575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168702</v>
      </c>
      <c r="X12" s="50" t="n">
        <v>173449</v>
      </c>
      <c r="Y12" s="51">
        <f>M12-S12</f>
        <v/>
      </c>
      <c r="Z12" s="52" t="n">
        <v>64</v>
      </c>
      <c r="AA12" s="54">
        <f>X12+Y12+Z12</f>
        <v/>
      </c>
      <c r="AK12" s="57" t="n">
        <v>280342</v>
      </c>
      <c r="AL12" s="50" t="n">
        <v>286882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802.5949057202632</v>
      </c>
      <c r="C13" s="45" t="n">
        <v>820.1156500088863</v>
      </c>
      <c r="D13" s="95" t="n">
        <v>819.1211489331437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72185</v>
      </c>
      <c r="L13" s="50" t="n">
        <v>73573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20129</v>
      </c>
      <c r="R13" s="56" t="n">
        <v>20544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52056</v>
      </c>
      <c r="X13" s="50" t="n">
        <v>53029</v>
      </c>
      <c r="Y13" s="51">
        <f>M13-S13</f>
        <v/>
      </c>
      <c r="Z13" s="52" t="n">
        <v>36</v>
      </c>
      <c r="AA13" s="54">
        <f>X13+Y13+Z13</f>
        <v/>
      </c>
      <c r="AK13" s="57" t="n">
        <v>72149</v>
      </c>
      <c r="AL13" s="50" t="n">
        <v>73538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3485.169542201868</v>
      </c>
      <c r="C14" s="45" t="n">
        <v>3550.424741025967</v>
      </c>
      <c r="D14" s="95" t="n">
        <v>3548.091140942728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237595</v>
      </c>
      <c r="L14" s="50" t="n">
        <v>244888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84574</v>
      </c>
      <c r="R14" s="56" t="n">
        <v>85985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153021</v>
      </c>
      <c r="X14" s="50" t="n">
        <v>158903</v>
      </c>
      <c r="Y14" s="51">
        <f>M14-S14</f>
        <v/>
      </c>
      <c r="Z14" s="52" t="n">
        <v>50</v>
      </c>
      <c r="AA14" s="54">
        <f>X14+Y14+Z14</f>
        <v/>
      </c>
      <c r="AK14" s="57" t="n">
        <v>237488</v>
      </c>
      <c r="AL14" s="50" t="n">
        <v>244781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2681.764500605178</v>
      </c>
      <c r="C15" s="45" t="n">
        <v>2731.999167266542</v>
      </c>
      <c r="D15" s="95" t="n">
        <v>2734.947946602652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234362</v>
      </c>
      <c r="L15" s="50" t="n">
        <v>237796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79366</v>
      </c>
      <c r="R15" s="56" t="n">
        <v>80557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154996</v>
      </c>
      <c r="X15" s="50" t="n">
        <v>157239</v>
      </c>
      <c r="Y15" s="51">
        <f>M15-S15</f>
        <v/>
      </c>
      <c r="Z15" s="52" t="n">
        <v>53</v>
      </c>
      <c r="AA15" s="54">
        <f>X15+Y15+Z15</f>
        <v/>
      </c>
      <c r="AK15" s="57" t="n">
        <v>234247</v>
      </c>
      <c r="AL15" s="50" t="n">
        <v>237681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471.3471538613732</v>
      </c>
      <c r="C16" s="45" t="n">
        <v>482.2354303418618</v>
      </c>
      <c r="D16" s="95" t="n">
        <v>481.0965208936865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67377</v>
      </c>
      <c r="L16" s="50" t="n">
        <v>68577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18947</v>
      </c>
      <c r="R16" s="56" t="n">
        <v>19286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48430</v>
      </c>
      <c r="X16" s="50" t="n">
        <v>49291</v>
      </c>
      <c r="Y16" s="51">
        <f>M16-S16</f>
        <v/>
      </c>
      <c r="Z16" s="52" t="n">
        <v>11</v>
      </c>
      <c r="AA16" s="54">
        <f>X16+Y16+Z16</f>
        <v/>
      </c>
      <c r="AK16" s="57" t="n">
        <v>67357</v>
      </c>
      <c r="AL16" s="50" t="n">
        <v>68557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4459.047971797822</v>
      </c>
      <c r="C17" s="45" t="n">
        <v>4543.252810344728</v>
      </c>
      <c r="D17" s="95" t="n">
        <v>4538.313500361488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289018</v>
      </c>
      <c r="L17" s="50" t="n">
        <v>293581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143064</v>
      </c>
      <c r="R17" s="56" t="n">
        <v>145224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145954</v>
      </c>
      <c r="X17" s="50" t="n">
        <v>148357</v>
      </c>
      <c r="Y17" s="51">
        <f>M17-S17</f>
        <v/>
      </c>
      <c r="Z17" s="52" t="n">
        <v>147</v>
      </c>
      <c r="AA17" s="54">
        <f>X17+Y17+Z17</f>
        <v/>
      </c>
      <c r="AK17" s="57" t="n">
        <v>288879</v>
      </c>
      <c r="AL17" s="50" t="n">
        <v>293442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1499.935827504141</v>
      </c>
      <c r="C18" s="45" t="n">
        <v>1523.066825485396</v>
      </c>
      <c r="D18" s="95" t="n">
        <v>1522.175040004678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275018</v>
      </c>
      <c r="L18" s="50" t="n">
        <v>276834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35101</v>
      </c>
      <c r="R18" s="56" t="n">
        <v>35678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239917</v>
      </c>
      <c r="X18" s="50" t="n">
        <v>241156</v>
      </c>
      <c r="Y18" s="51">
        <f>M18-S18</f>
        <v/>
      </c>
      <c r="Z18" s="52" t="n">
        <v>28</v>
      </c>
      <c r="AA18" s="54">
        <f>X18+Y18+Z18</f>
        <v/>
      </c>
      <c r="AK18" s="57" t="n">
        <v>274912</v>
      </c>
      <c r="AL18" s="50" t="n">
        <v>276728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1494.632503800452</v>
      </c>
      <c r="C19" s="45" t="n">
        <v>1519.971319006146</v>
      </c>
      <c r="D19" s="95" t="n">
        <v>1518.230803914136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116169</v>
      </c>
      <c r="L19" s="50" t="n">
        <v>117916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40258</v>
      </c>
      <c r="R19" s="56" t="n">
        <v>40921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75911</v>
      </c>
      <c r="X19" s="50" t="n">
        <v>76995</v>
      </c>
      <c r="Y19" s="51">
        <f>M19-S19</f>
        <v/>
      </c>
      <c r="Z19" s="52" t="n">
        <v>60</v>
      </c>
      <c r="AA19" s="54">
        <f>X19+Y19+Z19</f>
        <v/>
      </c>
      <c r="AK19" s="57" t="n">
        <v>116095</v>
      </c>
      <c r="AL19" s="50" t="n">
        <v>117842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580.7107299748401</v>
      </c>
      <c r="C20" s="45" t="n">
        <v>592.2151333029238</v>
      </c>
      <c r="D20" s="95" t="n">
        <v>593.420054055959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71352</v>
      </c>
      <c r="L20" s="50" t="n">
        <v>72394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21080</v>
      </c>
      <c r="R20" s="56" t="n">
        <v>21404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50272</v>
      </c>
      <c r="X20" s="50" t="n">
        <v>50990</v>
      </c>
      <c r="Y20" s="51">
        <f>M20-S20</f>
        <v/>
      </c>
      <c r="Z20" s="52" t="n">
        <v>24</v>
      </c>
      <c r="AA20" s="54">
        <f>X20+Y20+Z20</f>
        <v/>
      </c>
      <c r="AK20" s="57" t="n">
        <v>71300</v>
      </c>
      <c r="AL20" s="50" t="n">
        <v>72342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206.3988207635172</v>
      </c>
      <c r="C21" s="45" t="n">
        <v>210.6125855918686</v>
      </c>
      <c r="D21" s="95" t="n">
        <v>210.3438818241916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21074</v>
      </c>
      <c r="L21" s="56" t="n">
        <v>21405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8690</v>
      </c>
      <c r="R21" s="56" t="n">
        <v>8826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12384</v>
      </c>
      <c r="X21" s="50" t="n">
        <v>12579</v>
      </c>
      <c r="Y21" s="51">
        <f>M21-S21</f>
        <v/>
      </c>
      <c r="Z21" s="52" t="n">
        <v>25</v>
      </c>
      <c r="AA21" s="54">
        <f>X21+Y21+Z21</f>
        <v/>
      </c>
      <c r="AK21" s="61" t="n">
        <v>21061</v>
      </c>
      <c r="AL21" s="56" t="n">
        <v>21392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111.021593036206</v>
      </c>
      <c r="C22" s="45" t="n">
        <v>113.3463411939548</v>
      </c>
      <c r="D22" s="95" t="n">
        <v>113.355555495886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10227</v>
      </c>
      <c r="L22" s="50" t="n">
        <v>10405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3903</v>
      </c>
      <c r="R22" s="56" t="n">
        <v>3966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6324</v>
      </c>
      <c r="X22" s="50" t="n">
        <v>6439</v>
      </c>
      <c r="Y22" s="51">
        <f>M22-S22</f>
        <v/>
      </c>
      <c r="Z22" s="52" t="n">
        <v>6</v>
      </c>
      <c r="AA22" s="54">
        <f>X22+Y22+Z22</f>
        <v/>
      </c>
      <c r="AK22" s="57" t="n">
        <v>10210</v>
      </c>
      <c r="AL22" s="50" t="n">
        <v>10388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3251.758951454959</v>
      </c>
      <c r="C23" s="45" t="n">
        <v>3321.358882090864</v>
      </c>
      <c r="D23" s="95" t="n">
        <v>3317.653535533729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376111</v>
      </c>
      <c r="L23" s="50" t="n">
        <v>381272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153803</v>
      </c>
      <c r="R23" s="56" t="n">
        <v>156209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222308</v>
      </c>
      <c r="X23" s="50" t="n">
        <v>225063</v>
      </c>
      <c r="Y23" s="51">
        <f>M23-S23</f>
        <v/>
      </c>
      <c r="Z23" s="52" t="n">
        <v>55</v>
      </c>
      <c r="AA23" s="54">
        <f>X23+Y23+Z23</f>
        <v/>
      </c>
      <c r="AK23" s="57" t="n">
        <v>376000</v>
      </c>
      <c r="AL23" s="50" t="n">
        <v>381161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785.4862844498323</v>
      </c>
      <c r="C24" s="45" t="n">
        <v>800.7746526336854</v>
      </c>
      <c r="D24" s="95" t="n">
        <v>801.2418471982008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90609</v>
      </c>
      <c r="L24" s="50" t="n">
        <v>91999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35147</v>
      </c>
      <c r="R24" s="56" t="n">
        <v>35640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55462</v>
      </c>
      <c r="X24" s="50" t="n">
        <v>56359</v>
      </c>
      <c r="Y24" s="51">
        <f>M24-S24</f>
        <v/>
      </c>
      <c r="Z24" s="52" t="n">
        <v>19</v>
      </c>
      <c r="AA24" s="54">
        <f>X24+Y24+Z24</f>
        <v/>
      </c>
      <c r="AK24" s="57" t="n">
        <v>90570</v>
      </c>
      <c r="AL24" s="50" t="n">
        <v>91959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1009.225790322931</v>
      </c>
      <c r="C25" s="45" t="n">
        <v>1028.444680362373</v>
      </c>
      <c r="D25" s="95" t="n">
        <v>1029.386491519631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140881</v>
      </c>
      <c r="L25" s="50" t="n">
        <v>142241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37071</v>
      </c>
      <c r="R25" s="56" t="n">
        <v>37646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103810</v>
      </c>
      <c r="X25" s="50" t="n">
        <v>104595</v>
      </c>
      <c r="Y25" s="51">
        <f>M25-S25</f>
        <v/>
      </c>
      <c r="Z25" s="52" t="n">
        <v>20</v>
      </c>
      <c r="AA25" s="54">
        <f>X25+Y25+Z25</f>
        <v/>
      </c>
      <c r="AK25" s="57" t="n">
        <v>140847</v>
      </c>
      <c r="AL25" s="50" t="n">
        <v>142207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8384.649086292953</v>
      </c>
      <c r="C26" s="45" t="n">
        <v>8548.292469293412</v>
      </c>
      <c r="D26" s="95" t="n">
        <v>8556.970066354444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154186</v>
      </c>
      <c r="L26" s="50" t="n">
        <v>156345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141658</v>
      </c>
      <c r="R26" s="56" t="n">
        <v>143625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12528</v>
      </c>
      <c r="X26" s="50" t="n">
        <v>12720</v>
      </c>
      <c r="Y26" s="51">
        <f>M26-S26</f>
        <v/>
      </c>
      <c r="Z26" s="52" t="n">
        <v>9</v>
      </c>
      <c r="AA26" s="54">
        <f>X26+Y26+Z26</f>
        <v/>
      </c>
      <c r="AK26" s="57" t="n">
        <v>154013</v>
      </c>
      <c r="AL26" s="50" t="n">
        <v>156171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4137.602811562801</v>
      </c>
      <c r="C27" s="45" t="n">
        <v>4203.045026412668</v>
      </c>
      <c r="D27" s="95" t="n">
        <v>4206.982250685159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260752</v>
      </c>
      <c r="L27" s="50" t="n">
        <v>264529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133277</v>
      </c>
      <c r="R27" s="56" t="n">
        <v>135379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127475</v>
      </c>
      <c r="X27" s="50" t="n">
        <v>129150</v>
      </c>
      <c r="Y27" s="51">
        <f>M27-S27</f>
        <v/>
      </c>
      <c r="Z27" s="52" t="n">
        <v>60</v>
      </c>
      <c r="AA27" s="54">
        <f>X27+Y27+Z27</f>
        <v/>
      </c>
      <c r="AK27" s="57" t="n">
        <v>260593</v>
      </c>
      <c r="AL27" s="50" t="n">
        <v>264371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1373.520120867096</v>
      </c>
      <c r="C28" s="45" t="n">
        <v>1390.76215330416</v>
      </c>
      <c r="D28" s="95" t="n">
        <v>1391.486184223549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41214</v>
      </c>
      <c r="L28" s="50" t="n">
        <v>41928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25011</v>
      </c>
      <c r="R28" s="56" t="n">
        <v>25416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16203</v>
      </c>
      <c r="X28" s="50" t="n">
        <v>16512</v>
      </c>
      <c r="Y28" s="51">
        <f>M28-S28</f>
        <v/>
      </c>
      <c r="Z28" s="52" t="n">
        <v>6</v>
      </c>
      <c r="AA28" s="54">
        <f>X28+Y28+Z28</f>
        <v/>
      </c>
      <c r="AK28" s="57" t="n">
        <v>41183</v>
      </c>
      <c r="AL28" s="50" t="n">
        <v>41897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42.51485767040694</v>
      </c>
      <c r="C29" s="45" t="n">
        <v>43.54585102680907</v>
      </c>
      <c r="D29" s="95" t="n">
        <v>43.47888336963234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3104</v>
      </c>
      <c r="L29" s="50" t="n">
        <v>3173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1185</v>
      </c>
      <c r="R29" s="56" t="n">
        <v>1202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1919</v>
      </c>
      <c r="X29" s="50" t="n">
        <v>1971</v>
      </c>
      <c r="Y29" s="51">
        <f>M29-S29</f>
        <v/>
      </c>
      <c r="Z29" s="52" t="n">
        <v>1</v>
      </c>
      <c r="AA29" s="54">
        <f>X29+Y29+Z29</f>
        <v/>
      </c>
      <c r="AK29" s="57" t="n">
        <v>3098</v>
      </c>
      <c r="AL29" s="50" t="n">
        <v>3167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780.3998752105246</v>
      </c>
      <c r="C30" s="45" t="n">
        <v>794.9085897188691</v>
      </c>
      <c r="D30" s="95" t="n">
        <v>796.3261240020206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77055</v>
      </c>
      <c r="L30" s="50" t="n">
        <v>78351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19686</v>
      </c>
      <c r="R30" s="56" t="n">
        <v>20017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57369</v>
      </c>
      <c r="X30" s="50" t="n">
        <v>58334</v>
      </c>
      <c r="Y30" s="51">
        <f>M30-S30</f>
        <v/>
      </c>
      <c r="Z30" s="52" t="n">
        <v>29</v>
      </c>
      <c r="AA30" s="54">
        <f>X30+Y30+Z30</f>
        <v/>
      </c>
      <c r="AK30" s="57" t="n">
        <v>77022</v>
      </c>
      <c r="AL30" s="50" t="n">
        <v>78318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1578.210253275638</v>
      </c>
      <c r="C31" s="45" t="n">
        <v>1604.46092880025</v>
      </c>
      <c r="D31" s="95" t="n">
        <v>1608.374286202216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153363</v>
      </c>
      <c r="L31" s="50" t="n">
        <v>155857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53408</v>
      </c>
      <c r="R31" s="56" t="n">
        <v>54159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99955</v>
      </c>
      <c r="X31" s="50" t="n">
        <v>101698</v>
      </c>
      <c r="Y31" s="51">
        <f>M31-S31</f>
        <v/>
      </c>
      <c r="Z31" s="52" t="n">
        <v>45</v>
      </c>
      <c r="AA31" s="54">
        <f>X31+Y31+Z31</f>
        <v/>
      </c>
      <c r="AK31" s="57" t="n">
        <v>153290</v>
      </c>
      <c r="AL31" s="50" t="n">
        <v>155784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8015.232253648747</v>
      </c>
      <c r="C32" s="45" t="n">
        <v>8132.75755965462</v>
      </c>
      <c r="D32" s="95" t="n">
        <v>8131.309907096136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309057</v>
      </c>
      <c r="L32" s="50" t="n">
        <v>315366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160541</v>
      </c>
      <c r="R32" s="56" t="n">
        <v>163857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148516</v>
      </c>
      <c r="X32" s="50" t="n">
        <v>151509</v>
      </c>
      <c r="Y32" s="51">
        <f>M32-S32</f>
        <v/>
      </c>
      <c r="Z32" s="52" t="n">
        <v>56</v>
      </c>
      <c r="AA32" s="54">
        <f>X32+Y32+Z32</f>
        <v/>
      </c>
      <c r="AK32" s="57" t="n">
        <v>308899</v>
      </c>
      <c r="AL32" s="50" t="n">
        <v>315208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1957.301611384108</v>
      </c>
      <c r="C33" s="45" t="n">
        <v>1988.449780995626</v>
      </c>
      <c r="D33" s="95" t="n">
        <v>1991.097188212752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94270</v>
      </c>
      <c r="L33" s="50" t="n">
        <v>95893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52069</v>
      </c>
      <c r="R33" s="56" t="n">
        <v>52896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42201</v>
      </c>
      <c r="X33" s="50" t="n">
        <v>42997</v>
      </c>
      <c r="Y33" s="51">
        <f>M33-S33</f>
        <v/>
      </c>
      <c r="Z33" s="52" t="n">
        <v>15</v>
      </c>
      <c r="AA33" s="54">
        <f>X33+Y33+Z33</f>
        <v/>
      </c>
      <c r="AK33" s="57" t="n">
        <v>94216</v>
      </c>
      <c r="AL33" s="50" t="n">
        <v>95839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3661047.5345147</v>
      </c>
      <c r="C34" s="64" t="n">
        <v>3883729.011431021</v>
      </c>
      <c r="D34" s="97" t="n">
        <v>3880399.269488315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42796459</v>
      </c>
      <c r="L34" s="70" t="n">
        <v>44274694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2604037</v>
      </c>
      <c r="R34" s="72" t="n">
        <v>2645210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3534376</v>
      </c>
      <c r="X34" s="70" t="n">
        <v>3589307</v>
      </c>
      <c r="Y34" s="70" t="n">
        <v>240028</v>
      </c>
      <c r="Z34" s="70" t="n">
        <v>1244</v>
      </c>
      <c r="AA34" s="73">
        <f>X34+Y34+Z34</f>
        <v/>
      </c>
      <c r="AB34" s="74" t="n">
        <v>36658046</v>
      </c>
      <c r="AC34" s="75" t="n">
        <v>38040177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6134770</v>
      </c>
      <c r="AL34" s="75" t="n">
        <v>6230872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>
        <v>400.1179310006438</v>
      </c>
      <c r="C35" s="79" t="n"/>
      <c r="D35" s="100" t="n">
        <v>394.3730511068524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/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35118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9.5" bestFit="1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2009.79744691226</v>
      </c>
      <c r="C3" s="45" t="n">
        <v>2046.289289584873</v>
      </c>
      <c r="D3" s="95" t="n">
        <v>2044.437626342717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154418</v>
      </c>
      <c r="L3" s="50" t="n">
        <v>157373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70710</v>
      </c>
      <c r="R3" s="56" t="n">
        <v>72125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83708</v>
      </c>
      <c r="X3" s="50" t="n">
        <v>85248</v>
      </c>
      <c r="Y3" s="51">
        <f>M3-S3</f>
        <v/>
      </c>
      <c r="Z3" s="52" t="n">
        <v>36</v>
      </c>
      <c r="AA3" s="54">
        <f>X3+Y3+Z3</f>
        <v/>
      </c>
      <c r="AK3" s="57" t="n">
        <v>154344</v>
      </c>
      <c r="AL3" s="50" t="n">
        <v>157299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84044.04813739465</v>
      </c>
      <c r="C4" s="45" t="n">
        <v>86466.26000557582</v>
      </c>
      <c r="D4" s="95" t="n">
        <v>86375.31489414701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169964</v>
      </c>
      <c r="L4" s="50" t="n">
        <v>172482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162477</v>
      </c>
      <c r="R4" s="56" t="n">
        <v>164885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7487</v>
      </c>
      <c r="X4" s="50" t="n">
        <v>7597</v>
      </c>
      <c r="Y4" s="51">
        <f>M4-S4</f>
        <v/>
      </c>
      <c r="Z4" s="52" t="n">
        <v>6</v>
      </c>
      <c r="AA4" s="54">
        <f>X4+Y4+Z4</f>
        <v/>
      </c>
      <c r="AK4" s="57" t="n">
        <v>169601</v>
      </c>
      <c r="AL4" s="50" t="n">
        <v>172119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2684.445548678606</v>
      </c>
      <c r="C5" s="45" t="n">
        <v>2732.36563927825</v>
      </c>
      <c r="D5" s="95" t="n">
        <v>2730.546806946259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315706</v>
      </c>
      <c r="L5" s="50" t="n">
        <v>319888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95209</v>
      </c>
      <c r="R5" s="56" t="n">
        <v>96685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220497</v>
      </c>
      <c r="X5" s="50" t="n">
        <v>223203</v>
      </c>
      <c r="Y5" s="51">
        <f>M5-S5</f>
        <v/>
      </c>
      <c r="Z5" s="52" t="n">
        <v>38</v>
      </c>
      <c r="AA5" s="54">
        <f>X5+Y5+Z5</f>
        <v/>
      </c>
      <c r="AK5" s="57" t="n">
        <v>315589</v>
      </c>
      <c r="AL5" s="50" t="n">
        <v>319771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424.7800435946544</v>
      </c>
      <c r="C6" s="45" t="n">
        <v>433.518514100043</v>
      </c>
      <c r="D6" s="95" t="n">
        <v>434.6958897445851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51795</v>
      </c>
      <c r="L6" s="56" t="n">
        <v>52714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19961</v>
      </c>
      <c r="R6" s="56" t="n">
        <v>20348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31834</v>
      </c>
      <c r="X6" s="50" t="n">
        <v>32366</v>
      </c>
      <c r="Y6" s="51">
        <f>M6-S6</f>
        <v/>
      </c>
      <c r="Z6" s="52" t="n">
        <v>4</v>
      </c>
      <c r="AA6" s="54">
        <f>X6+Y6+Z6</f>
        <v/>
      </c>
      <c r="AK6" s="61" t="n">
        <v>51778</v>
      </c>
      <c r="AL6" s="56" t="n">
        <v>52697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13334.93912366881</v>
      </c>
      <c r="C7" s="45" t="n">
        <v>13583.77171128035</v>
      </c>
      <c r="D7" s="95" t="n">
        <v>13552.30285017706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719443</v>
      </c>
      <c r="L7" s="50" t="n">
        <v>735498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376995</v>
      </c>
      <c r="R7" s="56" t="n">
        <v>385671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342448</v>
      </c>
      <c r="X7" s="50" t="n">
        <v>349827</v>
      </c>
      <c r="Y7" s="51">
        <f>M7-S7</f>
        <v/>
      </c>
      <c r="Z7" s="52" t="n">
        <v>96</v>
      </c>
      <c r="AA7" s="54">
        <f>X7+Y7+Z7</f>
        <v/>
      </c>
      <c r="AK7" s="57" t="n">
        <v>718998</v>
      </c>
      <c r="AL7" s="50" t="n">
        <v>735051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1575.772134150654</v>
      </c>
      <c r="C8" s="45" t="n">
        <v>1603.891350404861</v>
      </c>
      <c r="D8" s="95" t="n">
        <v>1604.90390424201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127090</v>
      </c>
      <c r="L8" s="50" t="n">
        <v>128956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52177</v>
      </c>
      <c r="R8" s="56" t="n">
        <v>52969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74913</v>
      </c>
      <c r="X8" s="50" t="n">
        <v>75987</v>
      </c>
      <c r="Y8" s="51">
        <f>M8-S8</f>
        <v/>
      </c>
      <c r="Z8" s="52" t="n">
        <v>23</v>
      </c>
      <c r="AA8" s="54">
        <f>X8+Y8+Z8</f>
        <v/>
      </c>
      <c r="AK8" s="57" t="n">
        <v>127024</v>
      </c>
      <c r="AL8" s="50" t="n">
        <v>128890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2568.916795747693</v>
      </c>
      <c r="C9" s="45" t="n">
        <v>2582.893078502949</v>
      </c>
      <c r="D9" s="95" t="n">
        <v>2584.541967558226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86962</v>
      </c>
      <c r="L9" s="50" t="n">
        <v>88219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38920</v>
      </c>
      <c r="R9" s="56" t="n">
        <v>39523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48042</v>
      </c>
      <c r="X9" s="50" t="n">
        <v>48696</v>
      </c>
      <c r="Y9" s="51">
        <f>M9-S9</f>
        <v/>
      </c>
      <c r="Z9" s="52" t="n">
        <v>27</v>
      </c>
      <c r="AA9" s="54">
        <f>X9+Y9+Z9</f>
        <v/>
      </c>
      <c r="AK9" s="57" t="n">
        <v>86924</v>
      </c>
      <c r="AL9" s="50" t="n">
        <v>88181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2677.421111549641</v>
      </c>
      <c r="C10" s="45" t="n">
        <v>2730.528224068223</v>
      </c>
      <c r="D10" s="95" t="n">
        <v>2718.144738007054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214825</v>
      </c>
      <c r="L10" s="50" t="n">
        <v>217413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36077</v>
      </c>
      <c r="R10" s="56" t="n">
        <v>36919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178748</v>
      </c>
      <c r="X10" s="50" t="n">
        <v>180494</v>
      </c>
      <c r="Y10" s="51">
        <f>M10-S10</f>
        <v/>
      </c>
      <c r="Z10" s="52" t="n">
        <v>44</v>
      </c>
      <c r="AA10" s="54">
        <f>X10+Y10+Z10</f>
        <v/>
      </c>
      <c r="AK10" s="57" t="n">
        <v>214802</v>
      </c>
      <c r="AL10" s="50" t="n">
        <v>217390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1504.164243910145</v>
      </c>
      <c r="C11" s="45" t="n">
        <v>1536.535449235881</v>
      </c>
      <c r="D11" s="95" t="n">
        <v>1535.942615345735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183422</v>
      </c>
      <c r="L11" s="50" t="n">
        <v>186946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67230</v>
      </c>
      <c r="R11" s="56" t="n">
        <v>68659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116192</v>
      </c>
      <c r="X11" s="50" t="n">
        <v>118287</v>
      </c>
      <c r="Y11" s="51">
        <f>M11-S11</f>
        <v/>
      </c>
      <c r="Z11" s="52" t="n">
        <v>53</v>
      </c>
      <c r="AA11" s="54">
        <f>X11+Y11+Z11</f>
        <v/>
      </c>
      <c r="AK11" s="57" t="n">
        <v>183347</v>
      </c>
      <c r="AL11" s="50" t="n">
        <v>186871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2738.261191249262</v>
      </c>
      <c r="C12" s="45" t="n">
        <v>2803.981616119861</v>
      </c>
      <c r="D12" s="95" t="n">
        <v>2796.709469887508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273219</v>
      </c>
      <c r="L12" s="50" t="n">
        <v>280484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109877</v>
      </c>
      <c r="R12" s="56" t="n">
        <v>111782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163342</v>
      </c>
      <c r="X12" s="50" t="n">
        <v>168702</v>
      </c>
      <c r="Y12" s="51">
        <f>M12-S12</f>
        <v/>
      </c>
      <c r="Z12" s="52" t="n">
        <v>64</v>
      </c>
      <c r="AA12" s="54">
        <f>X12+Y12+Z12</f>
        <v/>
      </c>
      <c r="AK12" s="57" t="n">
        <v>273077</v>
      </c>
      <c r="AL12" s="50" t="n">
        <v>280342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786.0686625073828</v>
      </c>
      <c r="C13" s="45" t="n">
        <v>802.5949057202632</v>
      </c>
      <c r="D13" s="95" t="n">
        <v>804.684948949858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70704</v>
      </c>
      <c r="L13" s="50" t="n">
        <v>72185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19639</v>
      </c>
      <c r="R13" s="56" t="n">
        <v>20129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51065</v>
      </c>
      <c r="X13" s="50" t="n">
        <v>52056</v>
      </c>
      <c r="Y13" s="51">
        <f>M13-S13</f>
        <v/>
      </c>
      <c r="Z13" s="52" t="n">
        <v>36</v>
      </c>
      <c r="AA13" s="54">
        <f>X13+Y13+Z13</f>
        <v/>
      </c>
      <c r="AK13" s="57" t="n">
        <v>70668</v>
      </c>
      <c r="AL13" s="50" t="n">
        <v>72149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3422.247943461009</v>
      </c>
      <c r="C14" s="45" t="n">
        <v>3485.169542201868</v>
      </c>
      <c r="D14" s="95" t="n">
        <v>3480.79368698478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230930</v>
      </c>
      <c r="L14" s="50" t="n">
        <v>237595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82761</v>
      </c>
      <c r="R14" s="56" t="n">
        <v>84574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148169</v>
      </c>
      <c r="X14" s="50" t="n">
        <v>153021</v>
      </c>
      <c r="Y14" s="51">
        <f>M14-S14</f>
        <v/>
      </c>
      <c r="Z14" s="52" t="n">
        <v>50</v>
      </c>
      <c r="AA14" s="54">
        <f>X14+Y14+Z14</f>
        <v/>
      </c>
      <c r="AK14" s="57" t="n">
        <v>230823</v>
      </c>
      <c r="AL14" s="50" t="n">
        <v>237488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2628.581054607704</v>
      </c>
      <c r="C15" s="45" t="n">
        <v>2681.764500605178</v>
      </c>
      <c r="D15" s="95" t="n">
        <v>2684.885097161531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231106</v>
      </c>
      <c r="L15" s="50" t="n">
        <v>234362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78117</v>
      </c>
      <c r="R15" s="56" t="n">
        <v>79366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152989</v>
      </c>
      <c r="X15" s="50" t="n">
        <v>154996</v>
      </c>
      <c r="Y15" s="51">
        <f>M15-S15</f>
        <v/>
      </c>
      <c r="Z15" s="52" t="n">
        <v>53</v>
      </c>
      <c r="AA15" s="54">
        <f>X15+Y15+Z15</f>
        <v/>
      </c>
      <c r="AK15" s="57" t="n">
        <v>230994</v>
      </c>
      <c r="AL15" s="50" t="n">
        <v>234247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461.5977868290599</v>
      </c>
      <c r="C16" s="45" t="n">
        <v>471.3471538613732</v>
      </c>
      <c r="D16" s="95" t="n">
        <v>471.6858840911249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65691</v>
      </c>
      <c r="L16" s="50" t="n">
        <v>67377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18641</v>
      </c>
      <c r="R16" s="56" t="n">
        <v>18947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47050</v>
      </c>
      <c r="X16" s="50" t="n">
        <v>48430</v>
      </c>
      <c r="Y16" s="51">
        <f>M16-S16</f>
        <v/>
      </c>
      <c r="Z16" s="52" t="n">
        <v>11</v>
      </c>
      <c r="AA16" s="54">
        <f>X16+Y16+Z16</f>
        <v/>
      </c>
      <c r="AK16" s="57" t="n">
        <v>65671</v>
      </c>
      <c r="AL16" s="50" t="n">
        <v>67357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4379.782443234157</v>
      </c>
      <c r="C17" s="45" t="n">
        <v>4459.047971797822</v>
      </c>
      <c r="D17" s="95" t="n">
        <v>4451.47156515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284233</v>
      </c>
      <c r="L17" s="50" t="n">
        <v>289018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140508</v>
      </c>
      <c r="R17" s="56" t="n">
        <v>143064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143725</v>
      </c>
      <c r="X17" s="50" t="n">
        <v>145954</v>
      </c>
      <c r="Y17" s="51">
        <f>M17-S17</f>
        <v/>
      </c>
      <c r="Z17" s="52" t="n">
        <v>147</v>
      </c>
      <c r="AA17" s="54">
        <f>X17+Y17+Z17</f>
        <v/>
      </c>
      <c r="AK17" s="57" t="n">
        <v>284094</v>
      </c>
      <c r="AL17" s="50" t="n">
        <v>288879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1477.696615003605</v>
      </c>
      <c r="C18" s="45" t="n">
        <v>1499.935827504141</v>
      </c>
      <c r="D18" s="95" t="n">
        <v>1503.014222656946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273074</v>
      </c>
      <c r="L18" s="50" t="n">
        <v>275018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34418</v>
      </c>
      <c r="R18" s="56" t="n">
        <v>35101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238656</v>
      </c>
      <c r="X18" s="50" t="n">
        <v>239917</v>
      </c>
      <c r="Y18" s="51">
        <f>M18-S18</f>
        <v/>
      </c>
      <c r="Z18" s="52" t="n">
        <v>28</v>
      </c>
      <c r="AA18" s="54">
        <f>X18+Y18+Z18</f>
        <v/>
      </c>
      <c r="AK18" s="57" t="n">
        <v>272970</v>
      </c>
      <c r="AL18" s="50" t="n">
        <v>274912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1471.034203686768</v>
      </c>
      <c r="C19" s="45" t="n">
        <v>1494.632503800452</v>
      </c>
      <c r="D19" s="95" t="n">
        <v>1495.61760039938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114269</v>
      </c>
      <c r="L19" s="50" t="n">
        <v>116169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39568</v>
      </c>
      <c r="R19" s="56" t="n">
        <v>40258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74701</v>
      </c>
      <c r="X19" s="50" t="n">
        <v>75911</v>
      </c>
      <c r="Y19" s="51">
        <f>M19-S19</f>
        <v/>
      </c>
      <c r="Z19" s="52" t="n">
        <v>60</v>
      </c>
      <c r="AA19" s="54">
        <f>X19+Y19+Z19</f>
        <v/>
      </c>
      <c r="AK19" s="57" t="n">
        <v>114195</v>
      </c>
      <c r="AL19" s="50" t="n">
        <v>116095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568.0014058937212</v>
      </c>
      <c r="C20" s="45" t="n">
        <v>580.7107299748401</v>
      </c>
      <c r="D20" s="95" t="n">
        <v>580.0015159799409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70276</v>
      </c>
      <c r="L20" s="50" t="n">
        <v>71352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20724</v>
      </c>
      <c r="R20" s="56" t="n">
        <v>21080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49552</v>
      </c>
      <c r="X20" s="50" t="n">
        <v>50272</v>
      </c>
      <c r="Y20" s="51">
        <f>M20-S20</f>
        <v/>
      </c>
      <c r="Z20" s="52" t="n">
        <v>24</v>
      </c>
      <c r="AA20" s="54">
        <f>X20+Y20+Z20</f>
        <v/>
      </c>
      <c r="AK20" s="57" t="n">
        <v>70224</v>
      </c>
      <c r="AL20" s="50" t="n">
        <v>71300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202.4537597028428</v>
      </c>
      <c r="C21" s="45" t="n">
        <v>206.3988207635172</v>
      </c>
      <c r="D21" s="95" t="n">
        <v>206.4684301244357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20773</v>
      </c>
      <c r="L21" s="56" t="n">
        <v>21074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8556</v>
      </c>
      <c r="R21" s="56" t="n">
        <v>8690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12217</v>
      </c>
      <c r="X21" s="50" t="n">
        <v>12384</v>
      </c>
      <c r="Y21" s="51">
        <f>M21-S21</f>
        <v/>
      </c>
      <c r="Z21" s="52" t="n">
        <v>25</v>
      </c>
      <c r="AA21" s="54">
        <f>X21+Y21+Z21</f>
        <v/>
      </c>
      <c r="AK21" s="61" t="n">
        <v>20760</v>
      </c>
      <c r="AL21" s="56" t="n">
        <v>21061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108.687630576526</v>
      </c>
      <c r="C22" s="45" t="n">
        <v>111.021593036206</v>
      </c>
      <c r="D22" s="95" t="n">
        <v>111.230043214153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10082</v>
      </c>
      <c r="L22" s="50" t="n">
        <v>10227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3838</v>
      </c>
      <c r="R22" s="56" t="n">
        <v>3903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6244</v>
      </c>
      <c r="X22" s="50" t="n">
        <v>6324</v>
      </c>
      <c r="Y22" s="51">
        <f>M22-S22</f>
        <v/>
      </c>
      <c r="Z22" s="52" t="n">
        <v>6</v>
      </c>
      <c r="AA22" s="54">
        <f>X22+Y22+Z22</f>
        <v/>
      </c>
      <c r="AK22" s="57" t="n">
        <v>10065</v>
      </c>
      <c r="AL22" s="50" t="n">
        <v>10210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3185.864367376188</v>
      </c>
      <c r="C23" s="45" t="n">
        <v>3251.758951454959</v>
      </c>
      <c r="D23" s="95" t="n">
        <v>3248.400873527258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370781</v>
      </c>
      <c r="L23" s="50" t="n">
        <v>376111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151235</v>
      </c>
      <c r="R23" s="56" t="n">
        <v>153803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219546</v>
      </c>
      <c r="X23" s="50" t="n">
        <v>222308</v>
      </c>
      <c r="Y23" s="51">
        <f>M23-S23</f>
        <v/>
      </c>
      <c r="Z23" s="52" t="n">
        <v>55</v>
      </c>
      <c r="AA23" s="54">
        <f>X23+Y23+Z23</f>
        <v/>
      </c>
      <c r="AK23" s="57" t="n">
        <v>370670</v>
      </c>
      <c r="AL23" s="50" t="n">
        <v>376000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769.7307217014637</v>
      </c>
      <c r="C24" s="45" t="n">
        <v>785.4862844498323</v>
      </c>
      <c r="D24" s="95" t="n">
        <v>787.3972251370587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89122</v>
      </c>
      <c r="L24" s="50" t="n">
        <v>90609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34595</v>
      </c>
      <c r="R24" s="56" t="n">
        <v>35147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54527</v>
      </c>
      <c r="X24" s="50" t="n">
        <v>55462</v>
      </c>
      <c r="Y24" s="51">
        <f>M24-S24</f>
        <v/>
      </c>
      <c r="Z24" s="52" t="n">
        <v>19</v>
      </c>
      <c r="AA24" s="54">
        <f>X24+Y24+Z24</f>
        <v/>
      </c>
      <c r="AK24" s="57" t="n">
        <v>89083</v>
      </c>
      <c r="AL24" s="50" t="n">
        <v>90570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989.0650891262302</v>
      </c>
      <c r="C25" s="45" t="n">
        <v>1009.225790322931</v>
      </c>
      <c r="D25" s="95" t="n">
        <v>1008.907063917373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139448</v>
      </c>
      <c r="L25" s="50" t="n">
        <v>140881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36514</v>
      </c>
      <c r="R25" s="56" t="n">
        <v>37071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102934</v>
      </c>
      <c r="X25" s="50" t="n">
        <v>103810</v>
      </c>
      <c r="Y25" s="51">
        <f>M25-S25</f>
        <v/>
      </c>
      <c r="Z25" s="52" t="n">
        <v>20</v>
      </c>
      <c r="AA25" s="54">
        <f>X25+Y25+Z25</f>
        <v/>
      </c>
      <c r="AK25" s="57" t="n">
        <v>139414</v>
      </c>
      <c r="AL25" s="50" t="n">
        <v>140847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8212.328106231462</v>
      </c>
      <c r="C26" s="45" t="n">
        <v>8384.649086292953</v>
      </c>
      <c r="D26" s="95" t="n">
        <v>8370.122188609901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151731</v>
      </c>
      <c r="L26" s="50" t="n">
        <v>154186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139382</v>
      </c>
      <c r="R26" s="56" t="n">
        <v>141658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12349</v>
      </c>
      <c r="X26" s="50" t="n">
        <v>12528</v>
      </c>
      <c r="Y26" s="51">
        <f>M26-S26</f>
        <v/>
      </c>
      <c r="Z26" s="52" t="n">
        <v>9</v>
      </c>
      <c r="AA26" s="54">
        <f>X26+Y26+Z26</f>
        <v/>
      </c>
      <c r="AK26" s="57" t="n">
        <v>151558</v>
      </c>
      <c r="AL26" s="50" t="n">
        <v>154013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4068.223372440444</v>
      </c>
      <c r="C27" s="45" t="n">
        <v>4137.602811562801</v>
      </c>
      <c r="D27" s="95" t="n">
        <v>4139.468009509366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257003</v>
      </c>
      <c r="L27" s="50" t="n">
        <v>260752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131032</v>
      </c>
      <c r="R27" s="56" t="n">
        <v>133277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125971</v>
      </c>
      <c r="X27" s="50" t="n">
        <v>127475</v>
      </c>
      <c r="Y27" s="51">
        <f>M27-S27</f>
        <v/>
      </c>
      <c r="Z27" s="52" t="n">
        <v>60</v>
      </c>
      <c r="AA27" s="54">
        <f>X27+Y27+Z27</f>
        <v/>
      </c>
      <c r="AK27" s="57" t="n">
        <v>256843</v>
      </c>
      <c r="AL27" s="50" t="n">
        <v>260593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1355.554057510642</v>
      </c>
      <c r="C28" s="45" t="n">
        <v>1373.520120867096</v>
      </c>
      <c r="D28" s="95" t="n">
        <v>1371.596050447518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40501</v>
      </c>
      <c r="L28" s="50" t="n">
        <v>41214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24625</v>
      </c>
      <c r="R28" s="56" t="n">
        <v>25011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15876</v>
      </c>
      <c r="X28" s="50" t="n">
        <v>16203</v>
      </c>
      <c r="Y28" s="51">
        <f>M28-S28</f>
        <v/>
      </c>
      <c r="Z28" s="52" t="n">
        <v>6</v>
      </c>
      <c r="AA28" s="54">
        <f>X28+Y28+Z28</f>
        <v/>
      </c>
      <c r="AK28" s="57" t="n">
        <v>40470</v>
      </c>
      <c r="AL28" s="50" t="n">
        <v>41183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41.55083197118154</v>
      </c>
      <c r="C29" s="45" t="n">
        <v>42.51485767040694</v>
      </c>
      <c r="D29" s="95" t="n">
        <v>42.28411204732041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3047</v>
      </c>
      <c r="L29" s="50" t="n">
        <v>3104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1155</v>
      </c>
      <c r="R29" s="56" t="n">
        <v>1185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1892</v>
      </c>
      <c r="X29" s="50" t="n">
        <v>1919</v>
      </c>
      <c r="Y29" s="51">
        <f>M29-S29</f>
        <v/>
      </c>
      <c r="Z29" s="52" t="n">
        <v>1</v>
      </c>
      <c r="AA29" s="54">
        <f>X29+Y29+Z29</f>
        <v/>
      </c>
      <c r="AK29" s="57" t="n">
        <v>3041</v>
      </c>
      <c r="AL29" s="50" t="n">
        <v>3098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764.4736264190285</v>
      </c>
      <c r="C30" s="45" t="n">
        <v>780.3998752105246</v>
      </c>
      <c r="D30" s="95" t="n">
        <v>782.129954010339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75793</v>
      </c>
      <c r="L30" s="50" t="n">
        <v>77055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19360</v>
      </c>
      <c r="R30" s="56" t="n">
        <v>19686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56433</v>
      </c>
      <c r="X30" s="50" t="n">
        <v>57369</v>
      </c>
      <c r="Y30" s="51">
        <f>M30-S30</f>
        <v/>
      </c>
      <c r="Z30" s="52" t="n">
        <v>29</v>
      </c>
      <c r="AA30" s="54">
        <f>X30+Y30+Z30</f>
        <v/>
      </c>
      <c r="AK30" s="57" t="n">
        <v>75760</v>
      </c>
      <c r="AL30" s="50" t="n">
        <v>77022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1548.046220349059</v>
      </c>
      <c r="C31" s="45" t="n">
        <v>1578.210253275638</v>
      </c>
      <c r="D31" s="95" t="n">
        <v>1579.274859295355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150655</v>
      </c>
      <c r="L31" s="50" t="n">
        <v>153363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52551</v>
      </c>
      <c r="R31" s="56" t="n">
        <v>53408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98104</v>
      </c>
      <c r="X31" s="50" t="n">
        <v>99955</v>
      </c>
      <c r="Y31" s="51">
        <f>M31-S31</f>
        <v/>
      </c>
      <c r="Z31" s="52" t="n">
        <v>45</v>
      </c>
      <c r="AA31" s="54">
        <f>X31+Y31+Z31</f>
        <v/>
      </c>
      <c r="AK31" s="57" t="n">
        <v>150582</v>
      </c>
      <c r="AL31" s="50" t="n">
        <v>153290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7899.154600201358</v>
      </c>
      <c r="C32" s="45" t="n">
        <v>8015.232253648747</v>
      </c>
      <c r="D32" s="95" t="n">
        <v>7996.109496785539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301731</v>
      </c>
      <c r="L32" s="50" t="n">
        <v>309057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156616</v>
      </c>
      <c r="R32" s="56" t="n">
        <v>160541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145115</v>
      </c>
      <c r="X32" s="50" t="n">
        <v>148516</v>
      </c>
      <c r="Y32" s="51">
        <f>M32-S32</f>
        <v/>
      </c>
      <c r="Z32" s="52" t="n">
        <v>56</v>
      </c>
      <c r="AA32" s="54">
        <f>X32+Y32+Z32</f>
        <v/>
      </c>
      <c r="AK32" s="57" t="n">
        <v>301573</v>
      </c>
      <c r="AL32" s="50" t="n">
        <v>308899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1923.506034555465</v>
      </c>
      <c r="C33" s="45" t="n">
        <v>1957.301611384108</v>
      </c>
      <c r="D33" s="95" t="n">
        <v>1957.89950844735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92557</v>
      </c>
      <c r="L33" s="50" t="n">
        <v>94270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51166</v>
      </c>
      <c r="R33" s="56" t="n">
        <v>52069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41391</v>
      </c>
      <c r="X33" s="50" t="n">
        <v>42201</v>
      </c>
      <c r="Y33" s="51">
        <f>M33-S33</f>
        <v/>
      </c>
      <c r="Z33" s="52" t="n">
        <v>15</v>
      </c>
      <c r="AA33" s="54">
        <f>X33+Y33+Z33</f>
        <v/>
      </c>
      <c r="AK33" s="57" t="n">
        <v>92503</v>
      </c>
      <c r="AL33" s="50" t="n">
        <v>94216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3441695.799541085</v>
      </c>
      <c r="C34" s="64" t="n">
        <v>3661047.5345147</v>
      </c>
      <c r="D34" s="97" t="n">
        <v>3620880.225341259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41124664</v>
      </c>
      <c r="L34" s="70" t="n">
        <v>42796459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2556810</v>
      </c>
      <c r="R34" s="72" t="n">
        <v>2604037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3477619</v>
      </c>
      <c r="X34" s="70" t="n">
        <v>3534376</v>
      </c>
      <c r="Y34" s="70" t="n">
        <v>240028</v>
      </c>
      <c r="Z34" s="70" t="n">
        <v>1244</v>
      </c>
      <c r="AA34" s="73">
        <f>X34+Y34+Z34</f>
        <v/>
      </c>
      <c r="AB34" s="74" t="n">
        <v>35090235</v>
      </c>
      <c r="AC34" s="75" t="n">
        <v>36658046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6030792</v>
      </c>
      <c r="AL34" s="75" t="n">
        <v>6134770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>
        <v>400.1179310006438</v>
      </c>
      <c r="C35" s="79" t="n"/>
      <c r="D35" s="100" t="n">
        <v>394.3730511068524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>
        <v>22234</v>
      </c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34467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9.5" bestFit="1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1975.157267481803</v>
      </c>
      <c r="C3" s="45" t="n">
        <v>2009.79744691226</v>
      </c>
      <c r="D3" s="95" t="n">
        <v>2009.991501593971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152599</v>
      </c>
      <c r="L3" s="50" t="n">
        <v>154418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69786</v>
      </c>
      <c r="R3" s="56" t="n">
        <v>70710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82813</v>
      </c>
      <c r="X3" s="50" t="n">
        <v>83708</v>
      </c>
      <c r="Y3" s="51">
        <f>M3-S3</f>
        <v/>
      </c>
      <c r="Z3" s="52" t="n">
        <v>36</v>
      </c>
      <c r="AA3" s="54">
        <f>X3+Y3+Z3</f>
        <v/>
      </c>
      <c r="AK3" s="57" t="n">
        <v>152525</v>
      </c>
      <c r="AL3" s="50" t="n">
        <v>154344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81712.78138064229</v>
      </c>
      <c r="C4" s="45" t="n">
        <v>84044.04813739465</v>
      </c>
      <c r="D4" s="95" t="n">
        <v>85512.44160008639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168291</v>
      </c>
      <c r="L4" s="50" t="n">
        <v>169964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160864</v>
      </c>
      <c r="R4" s="56" t="n">
        <v>162477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7427</v>
      </c>
      <c r="X4" s="50" t="n">
        <v>7487</v>
      </c>
      <c r="Y4" s="51">
        <f>M4-S4</f>
        <v/>
      </c>
      <c r="Z4" s="52" t="n">
        <v>6</v>
      </c>
      <c r="AA4" s="54">
        <f>X4+Y4+Z4</f>
        <v/>
      </c>
      <c r="AK4" s="57" t="n">
        <v>167927</v>
      </c>
      <c r="AL4" s="50" t="n">
        <v>169601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2638.344290410953</v>
      </c>
      <c r="C5" s="45" t="n">
        <v>2684.445548678606</v>
      </c>
      <c r="D5" s="95" t="n">
        <v>2681.92924285759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312963</v>
      </c>
      <c r="L5" s="50" t="n">
        <v>315706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94162</v>
      </c>
      <c r="R5" s="56" t="n">
        <v>95209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218801</v>
      </c>
      <c r="X5" s="50" t="n">
        <v>220497</v>
      </c>
      <c r="Y5" s="51">
        <f>M5-S5</f>
        <v/>
      </c>
      <c r="Z5" s="52" t="n">
        <v>38</v>
      </c>
      <c r="AA5" s="54">
        <f>X5+Y5+Z5</f>
        <v/>
      </c>
      <c r="AK5" s="57" t="n">
        <v>312846</v>
      </c>
      <c r="AL5" s="50" t="n">
        <v>315589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414.8641974447237</v>
      </c>
      <c r="C6" s="45" t="n">
        <v>424.7800435946544</v>
      </c>
      <c r="D6" s="95" t="n">
        <v>423.7772255156793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51215</v>
      </c>
      <c r="L6" s="56" t="n">
        <v>51795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19764</v>
      </c>
      <c r="R6" s="56" t="n">
        <v>19961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31451</v>
      </c>
      <c r="X6" s="50" t="n">
        <v>31834</v>
      </c>
      <c r="Y6" s="51">
        <f>M6-S6</f>
        <v/>
      </c>
      <c r="Z6" s="52" t="n">
        <v>4</v>
      </c>
      <c r="AA6" s="54">
        <f>X6+Y6+Z6</f>
        <v/>
      </c>
      <c r="AK6" s="61" t="n">
        <v>51198</v>
      </c>
      <c r="AL6" s="56" t="n">
        <v>51778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13117.57539716056</v>
      </c>
      <c r="C7" s="45" t="n">
        <v>13334.93912366881</v>
      </c>
      <c r="D7" s="95" t="n">
        <v>13334.57447949076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708004</v>
      </c>
      <c r="L7" s="50" t="n">
        <v>719443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369944</v>
      </c>
      <c r="R7" s="56" t="n">
        <v>376995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338060</v>
      </c>
      <c r="X7" s="50" t="n">
        <v>342448</v>
      </c>
      <c r="Y7" s="51">
        <f>M7-S7</f>
        <v/>
      </c>
      <c r="Z7" s="52" t="n">
        <v>96</v>
      </c>
      <c r="AA7" s="54">
        <f>X7+Y7+Z7</f>
        <v/>
      </c>
      <c r="AK7" s="57" t="n">
        <v>707559</v>
      </c>
      <c r="AL7" s="50" t="n">
        <v>718998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1546.640364059298</v>
      </c>
      <c r="C8" s="45" t="n">
        <v>1575.772134150654</v>
      </c>
      <c r="D8" s="95" t="n">
        <v>1574.086090783042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126030</v>
      </c>
      <c r="L8" s="50" t="n">
        <v>127090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51730</v>
      </c>
      <c r="R8" s="56" t="n">
        <v>52177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74300</v>
      </c>
      <c r="X8" s="50" t="n">
        <v>74913</v>
      </c>
      <c r="Y8" s="51">
        <f>M8-S8</f>
        <v/>
      </c>
      <c r="Z8" s="52" t="n">
        <v>23</v>
      </c>
      <c r="AA8" s="54">
        <f>X8+Y8+Z8</f>
        <v/>
      </c>
      <c r="AK8" s="57" t="n">
        <v>125964</v>
      </c>
      <c r="AL8" s="50" t="n">
        <v>127024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2553.291623937159</v>
      </c>
      <c r="C9" s="45" t="n">
        <v>2568.916795747693</v>
      </c>
      <c r="D9" s="95" t="n">
        <v>2568.243412052759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86253</v>
      </c>
      <c r="L9" s="50" t="n">
        <v>86962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38597</v>
      </c>
      <c r="R9" s="56" t="n">
        <v>38920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47656</v>
      </c>
      <c r="X9" s="50" t="n">
        <v>48042</v>
      </c>
      <c r="Y9" s="51">
        <f>M9-S9</f>
        <v/>
      </c>
      <c r="Z9" s="52" t="n">
        <v>27</v>
      </c>
      <c r="AA9" s="54">
        <f>X9+Y9+Z9</f>
        <v/>
      </c>
      <c r="AK9" s="57" t="n">
        <v>86215</v>
      </c>
      <c r="AL9" s="50" t="n">
        <v>86924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2636.697485092227</v>
      </c>
      <c r="C10" s="45" t="n">
        <v>2677.421111549641</v>
      </c>
      <c r="D10" s="95" t="n">
        <v>2679.282160872104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213207</v>
      </c>
      <c r="L10" s="50" t="n">
        <v>214825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35671</v>
      </c>
      <c r="R10" s="56" t="n">
        <v>36077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177536</v>
      </c>
      <c r="X10" s="50" t="n">
        <v>178748</v>
      </c>
      <c r="Y10" s="51">
        <f>M10-S10</f>
        <v/>
      </c>
      <c r="Z10" s="52" t="n">
        <v>44</v>
      </c>
      <c r="AA10" s="54">
        <f>X10+Y10+Z10</f>
        <v/>
      </c>
      <c r="AK10" s="57" t="n">
        <v>213184</v>
      </c>
      <c r="AL10" s="50" t="n">
        <v>214802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1472.385872474555</v>
      </c>
      <c r="C11" s="45" t="n">
        <v>1504.164243910145</v>
      </c>
      <c r="D11" s="95" t="n">
        <v>1503.859418028576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180588</v>
      </c>
      <c r="L11" s="50" t="n">
        <v>183422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65890</v>
      </c>
      <c r="R11" s="56" t="n">
        <v>67230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114698</v>
      </c>
      <c r="X11" s="50" t="n">
        <v>116192</v>
      </c>
      <c r="Y11" s="51">
        <f>M11-S11</f>
        <v/>
      </c>
      <c r="Z11" s="52" t="n">
        <v>53</v>
      </c>
      <c r="AA11" s="54">
        <f>X11+Y11+Z11</f>
        <v/>
      </c>
      <c r="AK11" s="57" t="n">
        <v>180513</v>
      </c>
      <c r="AL11" s="50" t="n">
        <v>183347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2679.812912611016</v>
      </c>
      <c r="C12" s="45" t="n">
        <v>2738.261191249262</v>
      </c>
      <c r="D12" s="95" t="n">
        <v>2733.675702068177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268769</v>
      </c>
      <c r="L12" s="50" t="n">
        <v>273219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108465</v>
      </c>
      <c r="R12" s="56" t="n">
        <v>109877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160304</v>
      </c>
      <c r="X12" s="50" t="n">
        <v>163342</v>
      </c>
      <c r="Y12" s="51">
        <f>M12-S12</f>
        <v/>
      </c>
      <c r="Z12" s="52" t="n">
        <v>64</v>
      </c>
      <c r="AA12" s="54">
        <f>X12+Y12+Z12</f>
        <v/>
      </c>
      <c r="AK12" s="57" t="n">
        <v>268628</v>
      </c>
      <c r="AL12" s="50" t="n">
        <v>273077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767.4523760649075</v>
      </c>
      <c r="C13" s="45" t="n">
        <v>786.0686625073828</v>
      </c>
      <c r="D13" s="95" t="n">
        <v>785.2910802885702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69869</v>
      </c>
      <c r="L13" s="50" t="n">
        <v>70704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19316</v>
      </c>
      <c r="R13" s="56" t="n">
        <v>19639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50553</v>
      </c>
      <c r="X13" s="50" t="n">
        <v>51065</v>
      </c>
      <c r="Y13" s="51">
        <f>M13-S13</f>
        <v/>
      </c>
      <c r="Z13" s="52" t="n">
        <v>36</v>
      </c>
      <c r="AA13" s="54">
        <f>X13+Y13+Z13</f>
        <v/>
      </c>
      <c r="AK13" s="57" t="n">
        <v>69833</v>
      </c>
      <c r="AL13" s="50" t="n">
        <v>70668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3363.702199937238</v>
      </c>
      <c r="C14" s="45" t="n">
        <v>3422.247943461009</v>
      </c>
      <c r="D14" s="95" t="n">
        <v>3417.003367986677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227156</v>
      </c>
      <c r="L14" s="50" t="n">
        <v>230930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81657</v>
      </c>
      <c r="R14" s="56" t="n">
        <v>82761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145499</v>
      </c>
      <c r="X14" s="50" t="n">
        <v>148169</v>
      </c>
      <c r="Y14" s="51">
        <f>M14-S14</f>
        <v/>
      </c>
      <c r="Z14" s="52" t="n">
        <v>50</v>
      </c>
      <c r="AA14" s="54">
        <f>X14+Y14+Z14</f>
        <v/>
      </c>
      <c r="AK14" s="57" t="n">
        <v>227049</v>
      </c>
      <c r="AL14" s="50" t="n">
        <v>230823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2572.277012053878</v>
      </c>
      <c r="C15" s="45" t="n">
        <v>2628.581054607704</v>
      </c>
      <c r="D15" s="95" t="n">
        <v>2624.077550015986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228915</v>
      </c>
      <c r="L15" s="50" t="n">
        <v>231106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77267</v>
      </c>
      <c r="R15" s="56" t="n">
        <v>78117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151648</v>
      </c>
      <c r="X15" s="50" t="n">
        <v>152989</v>
      </c>
      <c r="Y15" s="51">
        <f>M15-S15</f>
        <v/>
      </c>
      <c r="Z15" s="52" t="n">
        <v>53</v>
      </c>
      <c r="AA15" s="54">
        <f>X15+Y15+Z15</f>
        <v/>
      </c>
      <c r="AK15" s="57" t="n">
        <v>228803</v>
      </c>
      <c r="AL15" s="50" t="n">
        <v>230994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451.509689566995</v>
      </c>
      <c r="C16" s="45" t="n">
        <v>461.5977868290599</v>
      </c>
      <c r="D16" s="95" t="n">
        <v>462.1805823106217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64211</v>
      </c>
      <c r="L16" s="50" t="n">
        <v>65691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18437</v>
      </c>
      <c r="R16" s="56" t="n">
        <v>18641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45774</v>
      </c>
      <c r="X16" s="50" t="n">
        <v>47050</v>
      </c>
      <c r="Y16" s="51">
        <f>M16-S16</f>
        <v/>
      </c>
      <c r="Z16" s="52" t="n">
        <v>11</v>
      </c>
      <c r="AA16" s="54">
        <f>X16+Y16+Z16</f>
        <v/>
      </c>
      <c r="AK16" s="57" t="n">
        <v>64191</v>
      </c>
      <c r="AL16" s="50" t="n">
        <v>65671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4308.093321318313</v>
      </c>
      <c r="C17" s="45" t="n">
        <v>4379.782443234157</v>
      </c>
      <c r="D17" s="95" t="n">
        <v>4379.422122955687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280684</v>
      </c>
      <c r="L17" s="50" t="n">
        <v>284233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138441</v>
      </c>
      <c r="R17" s="56" t="n">
        <v>140508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142243</v>
      </c>
      <c r="X17" s="50" t="n">
        <v>143725</v>
      </c>
      <c r="Y17" s="51">
        <f>M17-S17</f>
        <v/>
      </c>
      <c r="Z17" s="52" t="n">
        <v>147</v>
      </c>
      <c r="AA17" s="54">
        <f>X17+Y17+Z17</f>
        <v/>
      </c>
      <c r="AK17" s="57" t="n">
        <v>280545</v>
      </c>
      <c r="AL17" s="50" t="n">
        <v>284094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1452.379007350264</v>
      </c>
      <c r="C18" s="45" t="n">
        <v>1477.696615003605</v>
      </c>
      <c r="D18" s="95" t="n">
        <v>1474.676658239619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271946</v>
      </c>
      <c r="L18" s="50" t="n">
        <v>273074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33977</v>
      </c>
      <c r="R18" s="56" t="n">
        <v>34418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237969</v>
      </c>
      <c r="X18" s="50" t="n">
        <v>238656</v>
      </c>
      <c r="Y18" s="51">
        <f>M18-S18</f>
        <v/>
      </c>
      <c r="Z18" s="52" t="n">
        <v>28</v>
      </c>
      <c r="AA18" s="54">
        <f>X18+Y18+Z18</f>
        <v/>
      </c>
      <c r="AK18" s="57" t="n">
        <v>271842</v>
      </c>
      <c r="AL18" s="50" t="n">
        <v>272970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1446.450806974156</v>
      </c>
      <c r="C19" s="45" t="n">
        <v>1471.034203686768</v>
      </c>
      <c r="D19" s="95" t="n">
        <v>1470.621405861017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113028</v>
      </c>
      <c r="L19" s="50" t="n">
        <v>114269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39127</v>
      </c>
      <c r="R19" s="56" t="n">
        <v>39568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73901</v>
      </c>
      <c r="X19" s="50" t="n">
        <v>74701</v>
      </c>
      <c r="Y19" s="51">
        <f>M19-S19</f>
        <v/>
      </c>
      <c r="Z19" s="52" t="n">
        <v>60</v>
      </c>
      <c r="AA19" s="54">
        <f>X19+Y19+Z19</f>
        <v/>
      </c>
      <c r="AK19" s="57" t="n">
        <v>112954</v>
      </c>
      <c r="AL19" s="50" t="n">
        <v>114195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556.0012958075015</v>
      </c>
      <c r="C20" s="45" t="n">
        <v>568.0014058937212</v>
      </c>
      <c r="D20" s="95" t="n">
        <v>569.7571889156994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69716</v>
      </c>
      <c r="L20" s="50" t="n">
        <v>70276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20540</v>
      </c>
      <c r="R20" s="56" t="n">
        <v>20724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49176</v>
      </c>
      <c r="X20" s="50" t="n">
        <v>49552</v>
      </c>
      <c r="Y20" s="51">
        <f>M20-S20</f>
        <v/>
      </c>
      <c r="Z20" s="52" t="n">
        <v>24</v>
      </c>
      <c r="AA20" s="54">
        <f>X20+Y20+Z20</f>
        <v/>
      </c>
      <c r="AK20" s="57" t="n">
        <v>69664</v>
      </c>
      <c r="AL20" s="50" t="n">
        <v>70224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198.4390892812499</v>
      </c>
      <c r="C21" s="45" t="n">
        <v>202.4537597028428</v>
      </c>
      <c r="D21" s="95" t="n">
        <v>202.7245894891944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20598</v>
      </c>
      <c r="L21" s="56" t="n">
        <v>20773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8466</v>
      </c>
      <c r="R21" s="56" t="n">
        <v>8556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12132</v>
      </c>
      <c r="X21" s="50" t="n">
        <v>12217</v>
      </c>
      <c r="Y21" s="51">
        <f>M21-S21</f>
        <v/>
      </c>
      <c r="Z21" s="52" t="n">
        <v>25</v>
      </c>
      <c r="AA21" s="54">
        <f>X21+Y21+Z21</f>
        <v/>
      </c>
      <c r="AK21" s="61" t="n">
        <v>20585</v>
      </c>
      <c r="AL21" s="56" t="n">
        <v>20760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106.1452179388991</v>
      </c>
      <c r="C22" s="45" t="n">
        <v>108.687630576526</v>
      </c>
      <c r="D22" s="95" t="n">
        <v>108.6958861992747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10013</v>
      </c>
      <c r="L22" s="50" t="n">
        <v>10082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3809</v>
      </c>
      <c r="R22" s="56" t="n">
        <v>3838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6204</v>
      </c>
      <c r="X22" s="50" t="n">
        <v>6244</v>
      </c>
      <c r="Y22" s="51">
        <f>M22-S22</f>
        <v/>
      </c>
      <c r="Z22" s="52" t="n">
        <v>6</v>
      </c>
      <c r="AA22" s="54">
        <f>X22+Y22+Z22</f>
        <v/>
      </c>
      <c r="AK22" s="57" t="n">
        <v>9996</v>
      </c>
      <c r="AL22" s="50" t="n">
        <v>10065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3123.327861225118</v>
      </c>
      <c r="C23" s="45" t="n">
        <v>3185.864367376188</v>
      </c>
      <c r="D23" s="95" t="n">
        <v>3184.412242242623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367010</v>
      </c>
      <c r="L23" s="50" t="n">
        <v>370781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149204</v>
      </c>
      <c r="R23" s="56" t="n">
        <v>151235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217806</v>
      </c>
      <c r="X23" s="50" t="n">
        <v>219546</v>
      </c>
      <c r="Y23" s="51">
        <f>M23-S23</f>
        <v/>
      </c>
      <c r="Z23" s="52" t="n">
        <v>55</v>
      </c>
      <c r="AA23" s="54">
        <f>X23+Y23+Z23</f>
        <v/>
      </c>
      <c r="AK23" s="57" t="n">
        <v>366900</v>
      </c>
      <c r="AL23" s="50" t="n">
        <v>370670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752.0642182658687</v>
      </c>
      <c r="C24" s="45" t="n">
        <v>769.7307217014637</v>
      </c>
      <c r="D24" s="95" t="n">
        <v>768.2926684931251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88285</v>
      </c>
      <c r="L24" s="50" t="n">
        <v>89122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34290</v>
      </c>
      <c r="R24" s="56" t="n">
        <v>34595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53995</v>
      </c>
      <c r="X24" s="50" t="n">
        <v>54527</v>
      </c>
      <c r="Y24" s="51">
        <f>M24-S24</f>
        <v/>
      </c>
      <c r="Z24" s="52" t="n">
        <v>19</v>
      </c>
      <c r="AA24" s="54">
        <f>X24+Y24+Z24</f>
        <v/>
      </c>
      <c r="AK24" s="57" t="n">
        <v>88246</v>
      </c>
      <c r="AL24" s="50" t="n">
        <v>89083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969.2231143350873</v>
      </c>
      <c r="C25" s="45" t="n">
        <v>989.0650891262302</v>
      </c>
      <c r="D25" s="95" t="n">
        <v>988.8265719611272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138600</v>
      </c>
      <c r="L25" s="50" t="n">
        <v>139448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36152</v>
      </c>
      <c r="R25" s="56" t="n">
        <v>36514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102448</v>
      </c>
      <c r="X25" s="50" t="n">
        <v>102934</v>
      </c>
      <c r="Y25" s="51">
        <f>M25-S25</f>
        <v/>
      </c>
      <c r="Z25" s="52" t="n">
        <v>20</v>
      </c>
      <c r="AA25" s="54">
        <f>X25+Y25+Z25</f>
        <v/>
      </c>
      <c r="AK25" s="57" t="n">
        <v>138566</v>
      </c>
      <c r="AL25" s="50" t="n">
        <v>139414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8054.534023853023</v>
      </c>
      <c r="C26" s="45" t="n">
        <v>8212.328106231462</v>
      </c>
      <c r="D26" s="95" t="n">
        <v>8206.649611858895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150044</v>
      </c>
      <c r="L26" s="50" t="n">
        <v>151731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137805</v>
      </c>
      <c r="R26" s="56" t="n">
        <v>139382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12239</v>
      </c>
      <c r="X26" s="50" t="n">
        <v>12349</v>
      </c>
      <c r="Y26" s="51">
        <f>M26-S26</f>
        <v/>
      </c>
      <c r="Z26" s="52" t="n">
        <v>9</v>
      </c>
      <c r="AA26" s="54">
        <f>X26+Y26+Z26</f>
        <v/>
      </c>
      <c r="AK26" s="57" t="n">
        <v>149871</v>
      </c>
      <c r="AL26" s="50" t="n">
        <v>151558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3996.978735371522</v>
      </c>
      <c r="C27" s="45" t="n">
        <v>4068.223372440444</v>
      </c>
      <c r="D27" s="95" t="n">
        <v>4068.677736302911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254917</v>
      </c>
      <c r="L27" s="50" t="n">
        <v>257003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129746</v>
      </c>
      <c r="R27" s="56" t="n">
        <v>131032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125171</v>
      </c>
      <c r="X27" s="50" t="n">
        <v>125971</v>
      </c>
      <c r="Y27" s="51">
        <f>M27-S27</f>
        <v/>
      </c>
      <c r="Z27" s="52" t="n">
        <v>60</v>
      </c>
      <c r="AA27" s="54">
        <f>X27+Y27+Z27</f>
        <v/>
      </c>
      <c r="AK27" s="57" t="n">
        <v>254757</v>
      </c>
      <c r="AL27" s="50" t="n">
        <v>256843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1339.512064573766</v>
      </c>
      <c r="C28" s="45" t="n">
        <v>1355.554057510642</v>
      </c>
      <c r="D28" s="95" t="n">
        <v>1354.092097222175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40088</v>
      </c>
      <c r="L28" s="50" t="n">
        <v>40501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24380</v>
      </c>
      <c r="R28" s="56" t="n">
        <v>24625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15708</v>
      </c>
      <c r="X28" s="50" t="n">
        <v>15876</v>
      </c>
      <c r="Y28" s="51">
        <f>M28-S28</f>
        <v/>
      </c>
      <c r="Z28" s="52" t="n">
        <v>6</v>
      </c>
      <c r="AA28" s="54">
        <f>X28+Y28+Z28</f>
        <v/>
      </c>
      <c r="AK28" s="57" t="n">
        <v>40057</v>
      </c>
      <c r="AL28" s="50" t="n">
        <v>40470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40.81755189504266</v>
      </c>
      <c r="C29" s="45" t="n">
        <v>41.55083197118154</v>
      </c>
      <c r="D29" s="95" t="n">
        <v>41.61728296590127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3019</v>
      </c>
      <c r="L29" s="50" t="n">
        <v>3047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1148</v>
      </c>
      <c r="R29" s="56" t="n">
        <v>1155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1871</v>
      </c>
      <c r="X29" s="50" t="n">
        <v>1892</v>
      </c>
      <c r="Y29" s="51">
        <f>M29-S29</f>
        <v/>
      </c>
      <c r="Z29" s="52" t="n">
        <v>1</v>
      </c>
      <c r="AA29" s="54">
        <f>X29+Y29+Z29</f>
        <v/>
      </c>
      <c r="AK29" s="57" t="n">
        <v>3013</v>
      </c>
      <c r="AL29" s="50" t="n">
        <v>3041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746.817298827718</v>
      </c>
      <c r="C30" s="45" t="n">
        <v>764.4736264190285</v>
      </c>
      <c r="D30" s="95" t="n">
        <v>764.758599201942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74978</v>
      </c>
      <c r="L30" s="50" t="n">
        <v>75793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19174</v>
      </c>
      <c r="R30" s="56" t="n">
        <v>19360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55804</v>
      </c>
      <c r="X30" s="50" t="n">
        <v>56433</v>
      </c>
      <c r="Y30" s="51">
        <f>M30-S30</f>
        <v/>
      </c>
      <c r="Z30" s="52" t="n">
        <v>29</v>
      </c>
      <c r="AA30" s="54">
        <f>X30+Y30+Z30</f>
        <v/>
      </c>
      <c r="AK30" s="57" t="n">
        <v>74945</v>
      </c>
      <c r="AL30" s="50" t="n">
        <v>75760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1516.817581402763</v>
      </c>
      <c r="C31" s="45" t="n">
        <v>1548.046220349059</v>
      </c>
      <c r="D31" s="95" t="n">
        <v>1546.82582768724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148664</v>
      </c>
      <c r="L31" s="50" t="n">
        <v>150655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51993</v>
      </c>
      <c r="R31" s="56" t="n">
        <v>52551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96671</v>
      </c>
      <c r="X31" s="50" t="n">
        <v>98104</v>
      </c>
      <c r="Y31" s="51">
        <f>M31-S31</f>
        <v/>
      </c>
      <c r="Z31" s="52" t="n">
        <v>45</v>
      </c>
      <c r="AA31" s="54">
        <f>X31+Y31+Z31</f>
        <v/>
      </c>
      <c r="AK31" s="57" t="n">
        <v>148591</v>
      </c>
      <c r="AL31" s="50" t="n">
        <v>150582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7802.199703617178</v>
      </c>
      <c r="C32" s="45" t="n">
        <v>7899.154600201358</v>
      </c>
      <c r="D32" s="95" t="n">
        <v>7894.393857999261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296037</v>
      </c>
      <c r="L32" s="50" t="n">
        <v>301731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153302</v>
      </c>
      <c r="R32" s="56" t="n">
        <v>156616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142735</v>
      </c>
      <c r="X32" s="50" t="n">
        <v>145115</v>
      </c>
      <c r="Y32" s="51">
        <f>M32-S32</f>
        <v/>
      </c>
      <c r="Z32" s="52" t="n">
        <v>56</v>
      </c>
      <c r="AA32" s="54">
        <f>X32+Y32+Z32</f>
        <v/>
      </c>
      <c r="AK32" s="57" t="n">
        <v>295879</v>
      </c>
      <c r="AL32" s="50" t="n">
        <v>301573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1889.112560663579</v>
      </c>
      <c r="C33" s="45" t="n">
        <v>1923.506034555465</v>
      </c>
      <c r="D33" s="95" t="n">
        <v>1918.028682008474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91635</v>
      </c>
      <c r="L33" s="50" t="n">
        <v>92557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50669</v>
      </c>
      <c r="R33" s="56" t="n">
        <v>51166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40966</v>
      </c>
      <c r="X33" s="50" t="n">
        <v>41391</v>
      </c>
      <c r="Y33" s="51">
        <f>M33-S33</f>
        <v/>
      </c>
      <c r="Z33" s="52" t="n">
        <v>15</v>
      </c>
      <c r="AA33" s="54">
        <f>X33+Y33+Z33</f>
        <v/>
      </c>
      <c r="AK33" s="57" t="n">
        <v>91581</v>
      </c>
      <c r="AL33" s="50" t="n">
        <v>92503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3262511.373740912</v>
      </c>
      <c r="C34" s="64" t="n">
        <v>3441695.799541085</v>
      </c>
      <c r="D34" s="97" t="n">
        <v>3540572.23208133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39841580</v>
      </c>
      <c r="L34" s="70" t="n">
        <v>41124664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2522916</v>
      </c>
      <c r="R34" s="72" t="n">
        <v>2556810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3442326</v>
      </c>
      <c r="X34" s="70" t="n">
        <v>3477619</v>
      </c>
      <c r="Y34" s="70" t="n">
        <v>240028</v>
      </c>
      <c r="Z34" s="70" t="n">
        <v>1244</v>
      </c>
      <c r="AA34" s="73">
        <f>X34+Y34+Z34</f>
        <v/>
      </c>
      <c r="AB34" s="74" t="n">
        <v>33876338</v>
      </c>
      <c r="AC34" s="75" t="n">
        <v>35090235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5961602</v>
      </c>
      <c r="AL34" s="75" t="n">
        <v>6030792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>
        <v>393.4035269374203</v>
      </c>
      <c r="C35" s="79" t="n">
        <v>400.1179310006438</v>
      </c>
      <c r="D35" s="100" t="n">
        <v>394.3730511068524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/>
      <c r="L35" s="84" t="n">
        <v>22234</v>
      </c>
      <c r="M35" s="84" t="n">
        <v>1198</v>
      </c>
      <c r="N35" s="84" t="n"/>
      <c r="O35" s="84" t="n">
        <v>198</v>
      </c>
      <c r="P35" s="84">
        <f>L35+M35+N35+O35</f>
        <v/>
      </c>
      <c r="Q35" s="83" t="n"/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/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33891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57"/>
  <sheetViews>
    <sheetView tabSelected="1" workbookViewId="0">
      <selection activeCell="A1" sqref="A1:XFD1048576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9.5" bestFit="1" customWidth="1" style="93" min="38" max="38"/>
    <col width="14.33203125" customWidth="1" style="93" min="41" max="41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>
        <v>0</v>
      </c>
      <c r="AH2" s="24" t="n">
        <v>0</v>
      </c>
      <c r="AI2" s="41" t="n">
        <v>74</v>
      </c>
      <c r="AJ2" s="42" t="n">
        <v>1710933</v>
      </c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1940.323033369635</v>
      </c>
      <c r="C3" s="45" t="n">
        <v>1975.157267481803</v>
      </c>
      <c r="D3" s="95" t="n">
        <v>1975.293974032923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150141</v>
      </c>
      <c r="L3" s="50" t="n">
        <v>152599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68669</v>
      </c>
      <c r="R3" s="56" t="n">
        <v>69786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81472</v>
      </c>
      <c r="X3" s="50" t="n">
        <v>82813</v>
      </c>
      <c r="Y3" s="51">
        <f>M3-S3</f>
        <v/>
      </c>
      <c r="Z3" s="52" t="n">
        <v>36</v>
      </c>
      <c r="AA3" s="54">
        <f>X3+Y3+Z3</f>
        <v/>
      </c>
      <c r="AK3" s="57" t="n">
        <v>150067</v>
      </c>
      <c r="AL3" s="50" t="n">
        <v>152525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77913.1211611982</v>
      </c>
      <c r="C4" s="45" t="n">
        <v>81712.78138064229</v>
      </c>
      <c r="D4" s="95" t="n">
        <v>80067.58686349828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166240</v>
      </c>
      <c r="L4" s="50" t="n">
        <v>168291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158929</v>
      </c>
      <c r="R4" s="56" t="n">
        <v>160864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7311</v>
      </c>
      <c r="X4" s="50" t="n">
        <v>7427</v>
      </c>
      <c r="Y4" s="51">
        <f>M4-S4</f>
        <v/>
      </c>
      <c r="Z4" s="52" t="n">
        <v>6</v>
      </c>
      <c r="AA4" s="54">
        <f>X4+Y4+Z4</f>
        <v/>
      </c>
      <c r="AK4" s="57" t="n">
        <v>165876</v>
      </c>
      <c r="AL4" s="50" t="n">
        <v>167927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2594.759337964316</v>
      </c>
      <c r="C5" s="45" t="n">
        <v>2638.344290410953</v>
      </c>
      <c r="D5" s="95" t="n">
        <v>2640.989470250804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309572</v>
      </c>
      <c r="L5" s="50" t="n">
        <v>312963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92903</v>
      </c>
      <c r="R5" s="56" t="n">
        <v>94162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216669</v>
      </c>
      <c r="X5" s="50" t="n">
        <v>218801</v>
      </c>
      <c r="Y5" s="51">
        <f>M5-S5</f>
        <v/>
      </c>
      <c r="Z5" s="52" t="n">
        <v>38</v>
      </c>
      <c r="AA5" s="54">
        <f>X5+Y5+Z5</f>
        <v/>
      </c>
      <c r="AK5" s="57" t="n">
        <v>309455</v>
      </c>
      <c r="AL5" s="50" t="n">
        <v>312846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405.9511693737682</v>
      </c>
      <c r="C6" s="45" t="n">
        <v>414.8641974447237</v>
      </c>
      <c r="D6" s="95" t="n">
        <v>413.8806887439447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50488</v>
      </c>
      <c r="L6" s="56" t="n">
        <v>51215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19481</v>
      </c>
      <c r="R6" s="56" t="n">
        <v>19764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31007</v>
      </c>
      <c r="X6" s="50" t="n">
        <v>31451</v>
      </c>
      <c r="Y6" s="51">
        <f>M6-S6</f>
        <v/>
      </c>
      <c r="Z6" s="52" t="n">
        <v>4</v>
      </c>
      <c r="AA6" s="54">
        <f>X6+Y6+Z6</f>
        <v/>
      </c>
      <c r="AK6" s="61" t="n">
        <v>50471</v>
      </c>
      <c r="AL6" s="56" t="n">
        <v>51198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12900.57631483036</v>
      </c>
      <c r="C7" s="45" t="n">
        <v>13117.57539716056</v>
      </c>
      <c r="D7" s="95" t="n">
        <v>13136.47795256993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697223</v>
      </c>
      <c r="L7" s="50" t="n">
        <v>708004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364198</v>
      </c>
      <c r="R7" s="56" t="n">
        <v>369944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333025</v>
      </c>
      <c r="X7" s="50" t="n">
        <v>338060</v>
      </c>
      <c r="Y7" s="51">
        <f>M7-S7</f>
        <v/>
      </c>
      <c r="Z7" s="52" t="n">
        <v>96</v>
      </c>
      <c r="AA7" s="54">
        <f>X7+Y7+Z7</f>
        <v/>
      </c>
      <c r="AK7" s="57" t="n">
        <v>696780</v>
      </c>
      <c r="AL7" s="50" t="n">
        <v>707559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1519.194637335554</v>
      </c>
      <c r="C8" s="45" t="n">
        <v>1546.640364059298</v>
      </c>
      <c r="D8" s="95" t="n">
        <v>1547.022339837677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124305</v>
      </c>
      <c r="L8" s="50" t="n">
        <v>126030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51018</v>
      </c>
      <c r="R8" s="56" t="n">
        <v>51730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73287</v>
      </c>
      <c r="X8" s="50" t="n">
        <v>74300</v>
      </c>
      <c r="Y8" s="51">
        <f>M8-S8</f>
        <v/>
      </c>
      <c r="Z8" s="52" t="n">
        <v>23</v>
      </c>
      <c r="AA8" s="54">
        <f>X8+Y8+Z8</f>
        <v/>
      </c>
      <c r="AK8" s="57" t="n">
        <v>124239</v>
      </c>
      <c r="AL8" s="50" t="n">
        <v>125964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2538.339835821559</v>
      </c>
      <c r="C9" s="45" t="n">
        <v>2553.291623937159</v>
      </c>
      <c r="D9" s="95" t="n">
        <v>2552.385963156935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85126</v>
      </c>
      <c r="L9" s="50" t="n">
        <v>86253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38142</v>
      </c>
      <c r="R9" s="56" t="n">
        <v>38597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46984</v>
      </c>
      <c r="X9" s="50" t="n">
        <v>47656</v>
      </c>
      <c r="Y9" s="51">
        <f>M9-S9</f>
        <v/>
      </c>
      <c r="Z9" s="52" t="n">
        <v>27</v>
      </c>
      <c r="AA9" s="54">
        <f>X9+Y9+Z9</f>
        <v/>
      </c>
      <c r="AK9" s="57" t="n">
        <v>85088</v>
      </c>
      <c r="AL9" s="50" t="n">
        <v>86215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2594.112809312349</v>
      </c>
      <c r="C10" s="45" t="n">
        <v>2636.697485092227</v>
      </c>
      <c r="D10" s="95" t="n">
        <v>2633.809872004941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210880</v>
      </c>
      <c r="L10" s="50" t="n">
        <v>213207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35185</v>
      </c>
      <c r="R10" s="56" t="n">
        <v>35671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175695</v>
      </c>
      <c r="X10" s="50" t="n">
        <v>177536</v>
      </c>
      <c r="Y10" s="51">
        <f>M10-S10</f>
        <v/>
      </c>
      <c r="Z10" s="52" t="n">
        <v>44</v>
      </c>
      <c r="AA10" s="54">
        <f>X10+Y10+Z10</f>
        <v/>
      </c>
      <c r="AK10" s="57" t="n">
        <v>210857</v>
      </c>
      <c r="AL10" s="50" t="n">
        <v>213184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1440.912326920534</v>
      </c>
      <c r="C11" s="45" t="n">
        <v>1472.385872474555</v>
      </c>
      <c r="D11" s="95" t="n">
        <v>1469.744867712248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177560</v>
      </c>
      <c r="L11" s="50" t="n">
        <v>180588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64721</v>
      </c>
      <c r="R11" s="56" t="n">
        <v>65890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112839</v>
      </c>
      <c r="X11" s="50" t="n">
        <v>114698</v>
      </c>
      <c r="Y11" s="51">
        <f>M11-S11</f>
        <v/>
      </c>
      <c r="Z11" s="52" t="n">
        <v>53</v>
      </c>
      <c r="AA11" s="54">
        <f>X11+Y11+Z11</f>
        <v/>
      </c>
      <c r="AK11" s="57" t="n">
        <v>177485</v>
      </c>
      <c r="AL11" s="50" t="n">
        <v>180513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2625.950123153854</v>
      </c>
      <c r="C12" s="45" t="n">
        <v>2679.812912611016</v>
      </c>
      <c r="D12" s="95" t="n">
        <v>2693.309638260953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263965</v>
      </c>
      <c r="L12" s="50" t="n">
        <v>268769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106774</v>
      </c>
      <c r="R12" s="56" t="n">
        <v>108465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157191</v>
      </c>
      <c r="X12" s="50" t="n">
        <v>160304</v>
      </c>
      <c r="Y12" s="51">
        <f>M12-S12</f>
        <v/>
      </c>
      <c r="Z12" s="52" t="n">
        <v>64</v>
      </c>
      <c r="AA12" s="54">
        <f>X12+Y12+Z12</f>
        <v/>
      </c>
      <c r="AK12" s="57" t="n">
        <v>263824</v>
      </c>
      <c r="AL12" s="50" t="n">
        <v>268628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749.6136718412448</v>
      </c>
      <c r="C13" s="45" t="n">
        <v>767.4523760649075</v>
      </c>
      <c r="D13" s="95" t="n">
        <v>766.2834997293944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68907</v>
      </c>
      <c r="L13" s="50" t="n">
        <v>69869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18997</v>
      </c>
      <c r="R13" s="56" t="n">
        <v>19316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49910</v>
      </c>
      <c r="X13" s="50" t="n">
        <v>50553</v>
      </c>
      <c r="Y13" s="51">
        <f>M13-S13</f>
        <v/>
      </c>
      <c r="Z13" s="52" t="n">
        <v>36</v>
      </c>
      <c r="AA13" s="54">
        <f>X13+Y13+Z13</f>
        <v/>
      </c>
      <c r="AK13" s="57" t="n">
        <v>68871</v>
      </c>
      <c r="AL13" s="50" t="n">
        <v>69833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3310.401031887799</v>
      </c>
      <c r="C14" s="45" t="n">
        <v>3363.702199937238</v>
      </c>
      <c r="D14" s="95" t="n">
        <v>3366.628186655726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222805</v>
      </c>
      <c r="L14" s="50" t="n">
        <v>227156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80388</v>
      </c>
      <c r="R14" s="56" t="n">
        <v>81657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142417</v>
      </c>
      <c r="X14" s="50" t="n">
        <v>145499</v>
      </c>
      <c r="Y14" s="51">
        <f>M14-S14</f>
        <v/>
      </c>
      <c r="Z14" s="52" t="n">
        <v>50</v>
      </c>
      <c r="AA14" s="54">
        <f>X14+Y14+Z14</f>
        <v/>
      </c>
      <c r="AK14" s="57" t="n">
        <v>222698</v>
      </c>
      <c r="AL14" s="50" t="n">
        <v>227049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2520.476474091769</v>
      </c>
      <c r="C15" s="45" t="n">
        <v>2572.277012053878</v>
      </c>
      <c r="D15" s="95" t="n">
        <v>2571.833313444574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225611</v>
      </c>
      <c r="L15" s="50" t="n">
        <v>228915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76196</v>
      </c>
      <c r="R15" s="56" t="n">
        <v>77267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149415</v>
      </c>
      <c r="X15" s="50" t="n">
        <v>151648</v>
      </c>
      <c r="Y15" s="51">
        <f>M15-S15</f>
        <v/>
      </c>
      <c r="Z15" s="52" t="n">
        <v>53</v>
      </c>
      <c r="AA15" s="54">
        <f>X15+Y15+Z15</f>
        <v/>
      </c>
      <c r="AK15" s="57" t="n">
        <v>225499</v>
      </c>
      <c r="AL15" s="50" t="n">
        <v>228803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440.8387968233682</v>
      </c>
      <c r="C16" s="45" t="n">
        <v>451.509689566995</v>
      </c>
      <c r="D16" s="95" t="n">
        <v>452.5370357243334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63036</v>
      </c>
      <c r="L16" s="50" t="n">
        <v>64211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18200</v>
      </c>
      <c r="R16" s="56" t="n">
        <v>18437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44836</v>
      </c>
      <c r="X16" s="50" t="n">
        <v>45774</v>
      </c>
      <c r="Y16" s="51">
        <f>M16-S16</f>
        <v/>
      </c>
      <c r="Z16" s="52" t="n">
        <v>11</v>
      </c>
      <c r="AA16" s="54">
        <f>X16+Y16+Z16</f>
        <v/>
      </c>
      <c r="AK16" s="57" t="n">
        <v>63016</v>
      </c>
      <c r="AL16" s="50" t="n">
        <v>64191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4236.76451968094</v>
      </c>
      <c r="C17" s="45" t="n">
        <v>4308.093321318313</v>
      </c>
      <c r="D17" s="95" t="n">
        <v>4324.505806638238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276435</v>
      </c>
      <c r="L17" s="50" t="n">
        <v>280684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136388</v>
      </c>
      <c r="R17" s="56" t="n">
        <v>138441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140047</v>
      </c>
      <c r="X17" s="50" t="n">
        <v>142243</v>
      </c>
      <c r="Y17" s="51">
        <f>M17-S17</f>
        <v/>
      </c>
      <c r="Z17" s="52" t="n">
        <v>147</v>
      </c>
      <c r="AA17" s="54">
        <f>X17+Y17+Z17</f>
        <v/>
      </c>
      <c r="AK17" s="57" t="n">
        <v>276296</v>
      </c>
      <c r="AL17" s="50" t="n">
        <v>280545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1430.081356460908</v>
      </c>
      <c r="C18" s="45" t="n">
        <v>1452.379007350264</v>
      </c>
      <c r="D18" s="95" t="n">
        <v>1450.062160571154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270362</v>
      </c>
      <c r="L18" s="50" t="n">
        <v>271946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33492</v>
      </c>
      <c r="R18" s="56" t="n">
        <v>33977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236870</v>
      </c>
      <c r="X18" s="50" t="n">
        <v>237969</v>
      </c>
      <c r="Y18" s="51">
        <f>M18-S18</f>
        <v/>
      </c>
      <c r="Z18" s="52" t="n">
        <v>28</v>
      </c>
      <c r="AA18" s="54">
        <f>X18+Y18+Z18</f>
        <v/>
      </c>
      <c r="AK18" s="57" t="n">
        <v>270259</v>
      </c>
      <c r="AL18" s="50" t="n">
        <v>271842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1422.280208087294</v>
      </c>
      <c r="C19" s="45" t="n">
        <v>1446.450806974156</v>
      </c>
      <c r="D19" s="95" t="n">
        <v>1448.412576894682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111374</v>
      </c>
      <c r="L19" s="50" t="n">
        <v>113028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38522</v>
      </c>
      <c r="R19" s="56" t="n">
        <v>39127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72852</v>
      </c>
      <c r="X19" s="50" t="n">
        <v>73901</v>
      </c>
      <c r="Y19" s="51">
        <f>M19-S19</f>
        <v/>
      </c>
      <c r="Z19" s="52" t="n">
        <v>60</v>
      </c>
      <c r="AA19" s="54">
        <f>X19+Y19+Z19</f>
        <v/>
      </c>
      <c r="AK19" s="57" t="n">
        <v>111300</v>
      </c>
      <c r="AL19" s="50" t="n">
        <v>112954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542.2454026993036</v>
      </c>
      <c r="C20" s="45" t="n">
        <v>556.0012958075015</v>
      </c>
      <c r="D20" s="95" t="n">
        <v>555.3705617217395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68861</v>
      </c>
      <c r="L20" s="50" t="n">
        <v>69716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20288</v>
      </c>
      <c r="R20" s="56" t="n">
        <v>20540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48573</v>
      </c>
      <c r="X20" s="50" t="n">
        <v>49176</v>
      </c>
      <c r="Y20" s="51">
        <f>M20-S20</f>
        <v/>
      </c>
      <c r="Z20" s="52" t="n">
        <v>24</v>
      </c>
      <c r="AA20" s="54">
        <f>X20+Y20+Z20</f>
        <v/>
      </c>
      <c r="AK20" s="57" t="n">
        <v>68809</v>
      </c>
      <c r="AL20" s="50" t="n">
        <v>69664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194.1535890733053</v>
      </c>
      <c r="C21" s="45" t="n">
        <v>198.4390892812499</v>
      </c>
      <c r="D21" s="95" t="n">
        <v>197.9131095106325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20304</v>
      </c>
      <c r="L21" s="56" t="n">
        <v>20598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8354</v>
      </c>
      <c r="R21" s="56" t="n">
        <v>8466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11950</v>
      </c>
      <c r="X21" s="50" t="n">
        <v>12132</v>
      </c>
      <c r="Y21" s="51">
        <f>M21-S21</f>
        <v/>
      </c>
      <c r="Z21" s="52" t="n">
        <v>25</v>
      </c>
      <c r="AA21" s="54">
        <f>X21+Y21+Z21</f>
        <v/>
      </c>
      <c r="AK21" s="61" t="n">
        <v>20291</v>
      </c>
      <c r="AL21" s="56" t="n">
        <v>20585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103.5945496785235</v>
      </c>
      <c r="C22" s="45" t="n">
        <v>106.1452179388991</v>
      </c>
      <c r="D22" s="95" t="n">
        <v>105.6984644378133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9907</v>
      </c>
      <c r="L22" s="50" t="n">
        <v>10013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3761</v>
      </c>
      <c r="R22" s="56" t="n">
        <v>3809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6146</v>
      </c>
      <c r="X22" s="50" t="n">
        <v>6204</v>
      </c>
      <c r="Y22" s="51">
        <f>M22-S22</f>
        <v/>
      </c>
      <c r="Z22" s="52" t="n">
        <v>6</v>
      </c>
      <c r="AA22" s="54">
        <f>X22+Y22+Z22</f>
        <v/>
      </c>
      <c r="AK22" s="57" t="n">
        <v>9890</v>
      </c>
      <c r="AL22" s="50" t="n">
        <v>9996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3062.243480207614</v>
      </c>
      <c r="C23" s="45" t="n">
        <v>3123.327861225118</v>
      </c>
      <c r="D23" s="95" t="n">
        <v>3125.212840993725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362390</v>
      </c>
      <c r="L23" s="50" t="n">
        <v>367010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147144</v>
      </c>
      <c r="R23" s="56" t="n">
        <v>149204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215246</v>
      </c>
      <c r="X23" s="50" t="n">
        <v>217806</v>
      </c>
      <c r="Y23" s="51">
        <f>M23-S23</f>
        <v/>
      </c>
      <c r="Z23" s="52" t="n">
        <v>55</v>
      </c>
      <c r="AA23" s="54">
        <f>X23+Y23+Z23</f>
        <v/>
      </c>
      <c r="AK23" s="57" t="n">
        <v>362281</v>
      </c>
      <c r="AL23" s="50" t="n">
        <v>366900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735.8357680386123</v>
      </c>
      <c r="C24" s="45" t="n">
        <v>752.0642182658687</v>
      </c>
      <c r="D24" s="95" t="n">
        <v>751.1235631657473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86895</v>
      </c>
      <c r="L24" s="50" t="n">
        <v>88285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33760</v>
      </c>
      <c r="R24" s="56" t="n">
        <v>34290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53135</v>
      </c>
      <c r="X24" s="50" t="n">
        <v>53995</v>
      </c>
      <c r="Y24" s="51">
        <f>M24-S24</f>
        <v/>
      </c>
      <c r="Z24" s="52" t="n">
        <v>19</v>
      </c>
      <c r="AA24" s="54">
        <f>X24+Y24+Z24</f>
        <v/>
      </c>
      <c r="AK24" s="57" t="n">
        <v>86856</v>
      </c>
      <c r="AL24" s="50" t="n">
        <v>88246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949.6196567090474</v>
      </c>
      <c r="C25" s="45" t="n">
        <v>969.2231143350873</v>
      </c>
      <c r="D25" s="95" t="n">
        <v>968.8353119143087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137396</v>
      </c>
      <c r="L25" s="50" t="n">
        <v>138600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35636</v>
      </c>
      <c r="R25" s="56" t="n">
        <v>36152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101760</v>
      </c>
      <c r="X25" s="50" t="n">
        <v>102448</v>
      </c>
      <c r="Y25" s="51">
        <f>M25-S25</f>
        <v/>
      </c>
      <c r="Z25" s="52" t="n">
        <v>20</v>
      </c>
      <c r="AA25" s="54">
        <f>X25+Y25+Z25</f>
        <v/>
      </c>
      <c r="AK25" s="57" t="n">
        <v>137362</v>
      </c>
      <c r="AL25" s="50" t="n">
        <v>138566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7902.418435847153</v>
      </c>
      <c r="C26" s="45" t="n">
        <v>8054.534023853023</v>
      </c>
      <c r="D26" s="95" t="n">
        <v>8057.021966554775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147963</v>
      </c>
      <c r="L26" s="50" t="n">
        <v>150044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135997</v>
      </c>
      <c r="R26" s="56" t="n">
        <v>137805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11966</v>
      </c>
      <c r="X26" s="50" t="n">
        <v>12239</v>
      </c>
      <c r="Y26" s="51">
        <f>M26-S26</f>
        <v/>
      </c>
      <c r="Z26" s="52" t="n">
        <v>9</v>
      </c>
      <c r="AA26" s="54">
        <f>X26+Y26+Z26</f>
        <v/>
      </c>
      <c r="AK26" s="57" t="n">
        <v>147791</v>
      </c>
      <c r="AL26" s="50" t="n">
        <v>149871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3925.279734440132</v>
      </c>
      <c r="C27" s="45" t="n">
        <v>3996.978735371522</v>
      </c>
      <c r="D27" s="95" t="n">
        <v>3998.298480821233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251782</v>
      </c>
      <c r="L27" s="50" t="n">
        <v>254917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128041</v>
      </c>
      <c r="R27" s="56" t="n">
        <v>129746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123741</v>
      </c>
      <c r="X27" s="50" t="n">
        <v>125171</v>
      </c>
      <c r="Y27" s="51">
        <f>M27-S27</f>
        <v/>
      </c>
      <c r="Z27" s="52" t="n">
        <v>60</v>
      </c>
      <c r="AA27" s="54">
        <f>X27+Y27+Z27</f>
        <v/>
      </c>
      <c r="AK27" s="57" t="n">
        <v>251623</v>
      </c>
      <c r="AL27" s="50" t="n">
        <v>254757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1324.932031925356</v>
      </c>
      <c r="C28" s="45" t="n">
        <v>1339.512064573766</v>
      </c>
      <c r="D28" s="95" t="n">
        <v>1341.431669714334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39513</v>
      </c>
      <c r="L28" s="50" t="n">
        <v>40088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24045</v>
      </c>
      <c r="R28" s="56" t="n">
        <v>24380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15468</v>
      </c>
      <c r="X28" s="50" t="n">
        <v>15708</v>
      </c>
      <c r="Y28" s="51">
        <f>M28-S28</f>
        <v/>
      </c>
      <c r="Z28" s="52" t="n">
        <v>6</v>
      </c>
      <c r="AA28" s="54">
        <f>X28+Y28+Z28</f>
        <v/>
      </c>
      <c r="AK28" s="57" t="n">
        <v>39482</v>
      </c>
      <c r="AL28" s="50" t="n">
        <v>40057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40.01782082418406</v>
      </c>
      <c r="C29" s="45" t="n">
        <v>40.81755189504266</v>
      </c>
      <c r="D29" s="95" t="n">
        <v>41.01956662497074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2983</v>
      </c>
      <c r="L29" s="50" t="n">
        <v>3019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1131</v>
      </c>
      <c r="R29" s="56" t="n">
        <v>1148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1852</v>
      </c>
      <c r="X29" s="50" t="n">
        <v>1871</v>
      </c>
      <c r="Y29" s="51">
        <f>M29-S29</f>
        <v/>
      </c>
      <c r="Z29" s="52" t="n">
        <v>1</v>
      </c>
      <c r="AA29" s="54">
        <f>X29+Y29+Z29</f>
        <v/>
      </c>
      <c r="AK29" s="57" t="n">
        <v>2977</v>
      </c>
      <c r="AL29" s="50" t="n">
        <v>3013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728.8759984534939</v>
      </c>
      <c r="C30" s="45" t="n">
        <v>746.817298827718</v>
      </c>
      <c r="D30" s="95" t="n">
        <v>743.3675279390483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73738</v>
      </c>
      <c r="L30" s="50" t="n">
        <v>74978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18879</v>
      </c>
      <c r="R30" s="56" t="n">
        <v>19174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54859</v>
      </c>
      <c r="X30" s="50" t="n">
        <v>55804</v>
      </c>
      <c r="Y30" s="51">
        <f>M30-S30</f>
        <v/>
      </c>
      <c r="Z30" s="52" t="n">
        <v>29</v>
      </c>
      <c r="AA30" s="54">
        <f>X30+Y30+Z30</f>
        <v/>
      </c>
      <c r="AK30" s="57" t="n">
        <v>73705</v>
      </c>
      <c r="AL30" s="50" t="n">
        <v>74945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1486.809335118286</v>
      </c>
      <c r="C31" s="45" t="n">
        <v>1516.817581402763</v>
      </c>
      <c r="D31" s="95" t="n">
        <v>1517.13285902607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145831</v>
      </c>
      <c r="L31" s="50" t="n">
        <v>148664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51234</v>
      </c>
      <c r="R31" s="56" t="n">
        <v>51993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94597</v>
      </c>
      <c r="X31" s="50" t="n">
        <v>96671</v>
      </c>
      <c r="Y31" s="51">
        <f>M31-S31</f>
        <v/>
      </c>
      <c r="Z31" s="52" t="n">
        <v>45</v>
      </c>
      <c r="AA31" s="54">
        <f>X31+Y31+Z31</f>
        <v/>
      </c>
      <c r="AK31" s="57" t="n">
        <v>145758</v>
      </c>
      <c r="AL31" s="50" t="n">
        <v>148591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7710.005549235095</v>
      </c>
      <c r="C32" s="45" t="n">
        <v>7802.199703617178</v>
      </c>
      <c r="D32" s="95" t="n">
        <v>7809.005962471039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291281</v>
      </c>
      <c r="L32" s="50" t="n">
        <v>296037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150862</v>
      </c>
      <c r="R32" s="56" t="n">
        <v>153302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140419</v>
      </c>
      <c r="X32" s="50" t="n">
        <v>142735</v>
      </c>
      <c r="Y32" s="51">
        <f>M32-S32</f>
        <v/>
      </c>
      <c r="Z32" s="52" t="n">
        <v>56</v>
      </c>
      <c r="AA32" s="54">
        <f>X32+Y32+Z32</f>
        <v/>
      </c>
      <c r="AK32" s="57" t="n">
        <v>291123</v>
      </c>
      <c r="AL32" s="50" t="n">
        <v>295879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1860.196439318683</v>
      </c>
      <c r="C33" s="45" t="n">
        <v>1889.112560663579</v>
      </c>
      <c r="D33" s="95" t="n">
        <v>1889.451952101936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90257</v>
      </c>
      <c r="L33" s="50" t="n">
        <v>91635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49926</v>
      </c>
      <c r="R33" s="56" t="n">
        <v>50669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40331</v>
      </c>
      <c r="X33" s="50" t="n">
        <v>40966</v>
      </c>
      <c r="Y33" s="51">
        <f>M33-S33</f>
        <v/>
      </c>
      <c r="Z33" s="52" t="n">
        <v>15</v>
      </c>
      <c r="AA33" s="54">
        <f>X33+Y33+Z33</f>
        <v/>
      </c>
      <c r="AK33" s="57" t="n">
        <v>90203</v>
      </c>
      <c r="AL33" s="50" t="n">
        <v>91581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2984450.515400494</v>
      </c>
      <c r="C34" s="64" t="n">
        <v>3262511.373740912</v>
      </c>
      <c r="D34" s="97" t="n">
        <v>3244649.037442452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38427447</v>
      </c>
      <c r="L34" s="70" t="n">
        <v>39841580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2487283</v>
      </c>
      <c r="R34" s="72" t="n">
        <v>2522916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3396649</v>
      </c>
      <c r="X34" s="70" t="n">
        <v>3442326</v>
      </c>
      <c r="Y34" s="70" t="n">
        <v>240028</v>
      </c>
      <c r="Z34" s="70" t="n">
        <v>1244</v>
      </c>
      <c r="AA34" s="73">
        <f>X34+Y34+Z34</f>
        <v/>
      </c>
      <c r="AB34" s="74" t="n">
        <v>32543515</v>
      </c>
      <c r="AC34" s="75" t="n">
        <v>33876338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5880255</v>
      </c>
      <c r="AL34" s="75" t="n">
        <v>5961602</v>
      </c>
      <c r="AM34" s="75" t="n">
        <v>346430</v>
      </c>
      <c r="AN34" s="75" t="n">
        <v>15758</v>
      </c>
      <c r="AO34" s="70" t="n">
        <v>55275</v>
      </c>
      <c r="AP34" s="70">
        <f>AL34+AM34+AN34+AO34</f>
        <v/>
      </c>
    </row>
    <row r="35">
      <c r="A35" s="77" t="inlineStr">
        <is>
          <t>大连</t>
        </is>
      </c>
      <c r="B35" s="99" t="n">
        <v>386.7245185604434</v>
      </c>
      <c r="C35" s="79" t="n"/>
      <c r="D35" s="100" t="n">
        <v>394.3730511068524</v>
      </c>
      <c r="E35" s="79" t="n"/>
      <c r="F35" s="81">
        <f>(C35-D35)/C35</f>
        <v/>
      </c>
      <c r="G35" s="82" t="n"/>
      <c r="H35" s="82" t="n"/>
      <c r="I35" s="77" t="n"/>
      <c r="J35" s="77" t="n"/>
      <c r="K35" s="83" t="n">
        <v>21817</v>
      </c>
      <c r="L35" s="84" t="n"/>
      <c r="M35" s="84" t="n">
        <v>1198</v>
      </c>
      <c r="N35" s="84" t="n"/>
      <c r="O35" s="84" t="n">
        <v>198</v>
      </c>
      <c r="P35" s="84">
        <f>L35+M35+N35+O35</f>
        <v/>
      </c>
      <c r="Q35" s="83" t="n">
        <v>9681</v>
      </c>
      <c r="R35" s="84" t="n"/>
      <c r="S35" s="84" t="n">
        <v>415</v>
      </c>
      <c r="T35" s="84" t="n"/>
      <c r="U35" s="84" t="n">
        <v>198</v>
      </c>
      <c r="V35" s="84">
        <f>R35+S35+T35+U35</f>
        <v/>
      </c>
      <c r="W35" s="83" t="n">
        <v>12136</v>
      </c>
      <c r="X35" s="84" t="n"/>
      <c r="Y35" s="84" t="n">
        <v>783</v>
      </c>
      <c r="Z35" s="84" t="n"/>
      <c r="AA35" s="85">
        <f>X35+Y35+Z35</f>
        <v/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>
        <v>21803</v>
      </c>
      <c r="AL35" s="84" t="n"/>
      <c r="AM35" s="84" t="n">
        <v>1198</v>
      </c>
      <c r="AN35" s="84" t="n"/>
      <c r="AO35" s="84" t="n">
        <v>198</v>
      </c>
      <c r="AP35" s="84">
        <f>AL35+AM35+AN35+AO35</f>
        <v/>
      </c>
    </row>
    <row r="36">
      <c r="A36" s="77" t="inlineStr">
        <is>
          <t>厦门202209-当月</t>
        </is>
      </c>
      <c r="B36" s="99" t="n"/>
      <c r="C36" s="79" t="n"/>
      <c r="D36" s="100" t="n">
        <v>-674.226116502529</v>
      </c>
      <c r="E36" s="79" t="n"/>
      <c r="F36" s="81">
        <f>(C36-D36)/C36</f>
        <v/>
      </c>
      <c r="G36" s="82" t="n"/>
      <c r="H36" s="82" t="n"/>
      <c r="I36" s="77" t="n"/>
      <c r="J36" s="77" t="n"/>
      <c r="K36" s="83" t="n"/>
      <c r="L36" s="84" t="n"/>
      <c r="M36" s="84" t="n">
        <v>2862</v>
      </c>
      <c r="N36" s="84" t="n"/>
      <c r="O36" s="84" t="n">
        <v>781</v>
      </c>
      <c r="P36" s="84">
        <f>L36+M36+N36+O36</f>
        <v/>
      </c>
      <c r="Q36" s="83" t="n"/>
      <c r="R36" s="84" t="n"/>
      <c r="S36" s="84" t="n">
        <v>1767</v>
      </c>
      <c r="T36" s="84" t="n"/>
      <c r="U36" s="84" t="n">
        <v>781</v>
      </c>
      <c r="V36" s="84">
        <f>R36+S36+T36+U36</f>
        <v/>
      </c>
      <c r="W36" s="83" t="n"/>
      <c r="X36" s="84" t="n"/>
      <c r="Y36" s="84" t="n">
        <v>1095</v>
      </c>
      <c r="Z36" s="84" t="n"/>
      <c r="AA36" s="85">
        <f>X36+Y36+Z36</f>
        <v/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/>
      <c r="AM36" s="84" t="n">
        <v>2862</v>
      </c>
      <c r="AN36" s="84" t="n"/>
      <c r="AO36" s="84" t="n">
        <v>781</v>
      </c>
      <c r="AP36" s="84">
        <f>AL36+AM36+AN36+AO36</f>
        <v/>
      </c>
    </row>
    <row r="37">
      <c r="A37" s="77" t="inlineStr">
        <is>
          <t>青岛</t>
        </is>
      </c>
      <c r="B37" s="99" t="n"/>
      <c r="C37" s="79" t="n"/>
      <c r="D37" s="100" t="n">
        <v>-417.7105301850356</v>
      </c>
      <c r="E37" s="79" t="n"/>
      <c r="F37" s="81">
        <f>(C37-D37)/C37</f>
        <v/>
      </c>
      <c r="G37" s="82" t="n"/>
      <c r="H37" s="82" t="n"/>
      <c r="I37" s="77" t="n"/>
      <c r="J37" s="77" t="n"/>
      <c r="K37" s="83" t="n"/>
      <c r="L37" s="84" t="n"/>
      <c r="M37" s="84" t="n">
        <v>2555</v>
      </c>
      <c r="N37" s="84" t="n"/>
      <c r="O37" s="84" t="n">
        <v>501</v>
      </c>
      <c r="P37" s="84">
        <f>L37+M37+N37+O37</f>
        <v/>
      </c>
      <c r="Q37" s="83" t="n"/>
      <c r="R37" s="84" t="n"/>
      <c r="S37" s="84" t="n">
        <v>1115</v>
      </c>
      <c r="T37" s="84" t="n"/>
      <c r="U37" s="84" t="n">
        <v>501</v>
      </c>
      <c r="V37" s="84">
        <f>R37+S37+T37+U37</f>
        <v/>
      </c>
      <c r="W37" s="83" t="n"/>
      <c r="X37" s="84" t="n"/>
      <c r="Y37" s="84" t="n">
        <v>1440</v>
      </c>
      <c r="Z37" s="84" t="n"/>
      <c r="AA37" s="85">
        <f>X37+Y37+Z37</f>
        <v/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>
        <v>51047</v>
      </c>
      <c r="AL37" s="84" t="n"/>
      <c r="AM37" s="84" t="n">
        <v>2555</v>
      </c>
      <c r="AN37" s="84" t="n"/>
      <c r="AO37" s="84" t="n">
        <v>501</v>
      </c>
      <c r="AP37" s="84">
        <f>AL37+AM37+AN37+AO37</f>
        <v/>
      </c>
    </row>
    <row r="38" ht="17" customHeight="1" s="93" thickBot="1">
      <c r="A38" s="77" t="inlineStr">
        <is>
          <t>宁波</t>
        </is>
      </c>
      <c r="B38" s="99" t="n"/>
      <c r="C38" s="79" t="n"/>
      <c r="D38" s="100" t="n">
        <v>-271.3995635918169</v>
      </c>
      <c r="E38" s="79" t="n"/>
      <c r="F38" s="81">
        <f>(C38-D38)/C38</f>
        <v/>
      </c>
      <c r="G38" s="82" t="n"/>
      <c r="H38" s="82" t="n"/>
      <c r="I38" s="77" t="n"/>
      <c r="J38" s="77" t="n"/>
      <c r="K38" s="86" t="n"/>
      <c r="L38" s="87" t="n"/>
      <c r="M38" s="87" t="n">
        <v>1345</v>
      </c>
      <c r="N38" s="87" t="n"/>
      <c r="O38" s="87" t="n">
        <v>301</v>
      </c>
      <c r="P38" s="87">
        <f>L38+M38+N38+O38</f>
        <v/>
      </c>
      <c r="Q38" s="86" t="n"/>
      <c r="R38" s="87" t="n"/>
      <c r="S38" s="87" t="n">
        <v>644</v>
      </c>
      <c r="T38" s="87" t="n"/>
      <c r="U38" s="87" t="n">
        <v>301</v>
      </c>
      <c r="V38" s="87">
        <f>R38+S38+T38+U38</f>
        <v/>
      </c>
      <c r="W38" s="86" t="n"/>
      <c r="X38" s="87" t="n"/>
      <c r="Y38" s="87" t="n">
        <v>701</v>
      </c>
      <c r="Z38" s="87" t="n"/>
      <c r="AA38" s="88">
        <f>X38+Y38+Z38</f>
        <v/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/>
      <c r="AM38" s="87" t="n">
        <v>1345</v>
      </c>
      <c r="AN38" s="87" t="n"/>
      <c r="AO38" s="87" t="n">
        <v>301</v>
      </c>
      <c r="AP38" s="87">
        <f>AL38+AM38+AN38+AO38</f>
        <v/>
      </c>
    </row>
    <row r="39" ht="32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33584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2026-02-25T05:16:46Z</dcterms:created>
  <dcterms:modified xmlns:dcterms="http://purl.org/dc/terms/" xmlns:xsi="http://www.w3.org/2001/XMLSchema-instance" xsi:type="dcterms:W3CDTF">2026-02-25T05:34:08Z</dcterms:modified>
  <cp:lastModifiedBy>T156378</cp:lastModifiedBy>
</cp:coreProperties>
</file>