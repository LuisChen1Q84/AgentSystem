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2340.255219329598</v>
      </c>
      <c r="C3" s="40" t="n">
        <v>2367.102607326554</v>
      </c>
      <c r="D3" s="51" t="n">
        <v>2367.453914387771</v>
      </c>
      <c r="E3" s="40">
        <f>(C3-B3)+C3</f>
        <v/>
      </c>
      <c r="F3" s="41">
        <f>(C3-D3)/C3</f>
        <v/>
      </c>
      <c r="G3" s="44" t="n">
        <v>177960</v>
      </c>
      <c r="H3" s="43" t="n">
        <v>180180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81732</v>
      </c>
      <c r="N3" s="21" t="n">
        <v>82747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96228</v>
      </c>
      <c r="T3" s="43" t="n">
        <v>97433</v>
      </c>
      <c r="U3" s="16">
        <f>I3-O3</f>
        <v/>
      </c>
      <c r="V3" s="17" t="n">
        <v>36</v>
      </c>
      <c r="W3" s="19">
        <f>T3+U3+V3</f>
        <v/>
      </c>
      <c r="AC3" s="42" t="n">
        <v>177882</v>
      </c>
      <c r="AD3" s="43" t="n">
        <v>180081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113541.7340347608</v>
      </c>
      <c r="C4" s="40" t="n">
        <v>116989.421044856</v>
      </c>
      <c r="D4" s="51" t="n">
        <v>115962.9220930285</v>
      </c>
      <c r="E4" s="40">
        <f>(C4-B4)+C4</f>
        <v/>
      </c>
      <c r="F4" s="41">
        <f>(C4-D4)/C4</f>
        <v/>
      </c>
      <c r="G4" s="44" t="n">
        <v>191386</v>
      </c>
      <c r="H4" s="43" t="n">
        <v>193845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182720</v>
      </c>
      <c r="N4" s="21" t="n">
        <v>185037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8666</v>
      </c>
      <c r="T4" s="43" t="n">
        <v>8808</v>
      </c>
      <c r="U4" s="16">
        <f>I4-O4</f>
        <v/>
      </c>
      <c r="V4" s="17" t="n">
        <v>6</v>
      </c>
      <c r="W4" s="19">
        <f>T4+U4+V4</f>
        <v/>
      </c>
      <c r="AC4" s="42" t="n">
        <v>191018</v>
      </c>
      <c r="AD4" s="43" t="n">
        <v>193473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3140.219882787038</v>
      </c>
      <c r="C5" s="40" t="n">
        <v>3181.281660045283</v>
      </c>
      <c r="D5" s="51" t="n">
        <v>3180.754985390673</v>
      </c>
      <c r="E5" s="40">
        <f>(C5-B5)+C5</f>
        <v/>
      </c>
      <c r="F5" s="41">
        <f>(C5-D5)/C5</f>
        <v/>
      </c>
      <c r="G5" s="44" t="n">
        <v>353907</v>
      </c>
      <c r="H5" s="43" t="n">
        <v>357874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107279</v>
      </c>
      <c r="N5" s="21" t="n">
        <v>108528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246628</v>
      </c>
      <c r="T5" s="43" t="n">
        <v>249346</v>
      </c>
      <c r="U5" s="16">
        <f>I5-O5</f>
        <v/>
      </c>
      <c r="V5" s="17" t="n">
        <v>38</v>
      </c>
      <c r="W5" s="19">
        <f>T5+U5+V5</f>
        <v/>
      </c>
      <c r="AC5" s="42" t="n">
        <v>353783</v>
      </c>
      <c r="AD5" s="43" t="n">
        <v>357727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516.239901112217</v>
      </c>
      <c r="C6" s="40" t="n">
        <v>526.8001371824681</v>
      </c>
      <c r="D6" s="51" t="n">
        <v>523.8203356524825</v>
      </c>
      <c r="E6" s="40">
        <f>(C6-B6)+C6</f>
        <v/>
      </c>
      <c r="F6" s="41">
        <f>(C6-D6)/C6</f>
        <v/>
      </c>
      <c r="G6" s="25" t="n">
        <v>58610</v>
      </c>
      <c r="H6" s="21" t="n">
        <v>59457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22837</v>
      </c>
      <c r="N6" s="21" t="n">
        <v>23123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35773</v>
      </c>
      <c r="T6" s="43" t="n">
        <v>36334</v>
      </c>
      <c r="U6" s="16">
        <f>I6-O6</f>
        <v/>
      </c>
      <c r="V6" s="17" t="n">
        <v>4</v>
      </c>
      <c r="W6" s="19">
        <f>T6+U6+V6</f>
        <v/>
      </c>
      <c r="AC6" s="25" t="n">
        <v>58590</v>
      </c>
      <c r="AD6" s="21" t="n">
        <v>59422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15740.70302640792</v>
      </c>
      <c r="C7" s="40" t="n">
        <v>15970.9478775803</v>
      </c>
      <c r="D7" s="51" t="n">
        <v>15978.24716163468</v>
      </c>
      <c r="E7" s="40">
        <f>(C7-B7)+C7</f>
        <v/>
      </c>
      <c r="F7" s="41">
        <f>(C7-D7)/C7</f>
        <v/>
      </c>
      <c r="G7" s="44" t="n">
        <v>851673</v>
      </c>
      <c r="H7" s="43" t="n">
        <v>865130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444855</v>
      </c>
      <c r="N7" s="21" t="n">
        <v>450398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406818</v>
      </c>
      <c r="T7" s="43" t="n">
        <v>414732</v>
      </c>
      <c r="U7" s="16">
        <f>I7-O7</f>
        <v/>
      </c>
      <c r="V7" s="17" t="n">
        <v>96</v>
      </c>
      <c r="W7" s="19">
        <f>T7+U7+V7</f>
        <v/>
      </c>
      <c r="AC7" s="42" t="n">
        <v>851200</v>
      </c>
      <c r="AD7" s="43" t="n">
        <v>864569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1841.535012269359</v>
      </c>
      <c r="C8" s="40" t="n">
        <v>1863.152778003255</v>
      </c>
      <c r="D8" s="51" t="n">
        <v>1863.722805313432</v>
      </c>
      <c r="E8" s="40">
        <f>(C8-B8)+C8</f>
        <v/>
      </c>
      <c r="F8" s="41">
        <f>(C8-D8)/C8</f>
        <v/>
      </c>
      <c r="G8" s="44" t="n">
        <v>144546</v>
      </c>
      <c r="H8" s="43" t="n">
        <v>146445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59140</v>
      </c>
      <c r="N8" s="21" t="n">
        <v>59886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85406</v>
      </c>
      <c r="T8" s="43" t="n">
        <v>86559</v>
      </c>
      <c r="U8" s="16">
        <f>I8-O8</f>
        <v/>
      </c>
      <c r="V8" s="17" t="n">
        <v>23</v>
      </c>
      <c r="W8" s="19">
        <f>T8+U8+V8</f>
        <v/>
      </c>
      <c r="AC8" s="42" t="n">
        <v>144469</v>
      </c>
      <c r="AD8" s="43" t="n">
        <v>146333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2722.276854667557</v>
      </c>
      <c r="C9" s="40" t="n">
        <v>2734.965037136676</v>
      </c>
      <c r="D9" s="51" t="n">
        <v>2735.13279168342</v>
      </c>
      <c r="E9" s="40">
        <f>(C9-B9)+C9</f>
        <v/>
      </c>
      <c r="F9" s="41">
        <f>(C9-D9)/C9</f>
        <v/>
      </c>
      <c r="G9" s="44" t="n">
        <v>100340</v>
      </c>
      <c r="H9" s="43" t="n">
        <v>101932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44263</v>
      </c>
      <c r="N9" s="21" t="n">
        <v>44827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56077</v>
      </c>
      <c r="T9" s="43" t="n">
        <v>57105</v>
      </c>
      <c r="U9" s="16">
        <f>I9-O9</f>
        <v/>
      </c>
      <c r="V9" s="17" t="n">
        <v>27</v>
      </c>
      <c r="W9" s="19">
        <f>T9+U9+V9</f>
        <v/>
      </c>
      <c r="AC9" s="42" t="n">
        <v>100299</v>
      </c>
      <c r="AD9" s="43" t="n">
        <v>101875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3064.890305367007</v>
      </c>
      <c r="C10" s="40" t="n">
        <v>3091.827660278222</v>
      </c>
      <c r="D10" s="51" t="n">
        <v>3089.117801856133</v>
      </c>
      <c r="E10" s="40">
        <f>(C10-B10)+C10</f>
        <v/>
      </c>
      <c r="F10" s="41">
        <f>(C10-D10)/C10</f>
        <v/>
      </c>
      <c r="G10" s="44" t="n">
        <v>235671</v>
      </c>
      <c r="H10" s="43" t="n">
        <v>238162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41705</v>
      </c>
      <c r="N10" s="21" t="n">
        <v>42349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193966</v>
      </c>
      <c r="T10" s="43" t="n">
        <v>195813</v>
      </c>
      <c r="U10" s="16">
        <f>I10-O10</f>
        <v/>
      </c>
      <c r="V10" s="17" t="n">
        <v>44</v>
      </c>
      <c r="W10" s="19">
        <f>T10+U10+V10</f>
        <v/>
      </c>
      <c r="AC10" s="42" t="n">
        <v>235648</v>
      </c>
      <c r="AD10" s="43" t="n">
        <v>238135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1831.495869356981</v>
      </c>
      <c r="C11" s="40" t="n">
        <v>1858.470034319927</v>
      </c>
      <c r="D11" s="51" t="n">
        <v>1859.441143452942</v>
      </c>
      <c r="E11" s="40">
        <f>(C11-B11)+C11</f>
        <v/>
      </c>
      <c r="F11" s="41">
        <f>(C11-D11)/C11</f>
        <v/>
      </c>
      <c r="G11" s="44" t="n">
        <v>211903</v>
      </c>
      <c r="H11" s="43" t="n">
        <v>214728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78646</v>
      </c>
      <c r="N11" s="21" t="n">
        <v>79787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133257</v>
      </c>
      <c r="T11" s="43" t="n">
        <v>134941</v>
      </c>
      <c r="U11" s="16">
        <f>I11-O11</f>
        <v/>
      </c>
      <c r="V11" s="17" t="n">
        <v>53</v>
      </c>
      <c r="W11" s="19">
        <f>T11+U11+V11</f>
        <v/>
      </c>
      <c r="AC11" s="42" t="n">
        <v>211816</v>
      </c>
      <c r="AD11" s="43" t="n">
        <v>214603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3335.558314409642</v>
      </c>
      <c r="C12" s="40" t="n">
        <v>3391.704500206441</v>
      </c>
      <c r="D12" s="51" t="n">
        <v>3401.255961643376</v>
      </c>
      <c r="E12" s="40">
        <f>(C12-B12)+C12</f>
        <v/>
      </c>
      <c r="F12" s="41">
        <f>(C12-D12)/C12</f>
        <v/>
      </c>
      <c r="G12" s="44" t="n">
        <v>327395</v>
      </c>
      <c r="H12" s="43" t="n">
        <v>332944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126795</v>
      </c>
      <c r="N12" s="21" t="n">
        <v>128663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200600</v>
      </c>
      <c r="T12" s="43" t="n">
        <v>204281</v>
      </c>
      <c r="U12" s="16">
        <f>I12-O12</f>
        <v/>
      </c>
      <c r="V12" s="17" t="n">
        <v>64</v>
      </c>
      <c r="W12" s="19">
        <f>T12+U12+V12</f>
        <v/>
      </c>
      <c r="AC12" s="42" t="n">
        <v>327233</v>
      </c>
      <c r="AD12" s="43" t="n">
        <v>332723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947.1211584316377</v>
      </c>
      <c r="C13" s="40" t="n">
        <v>960.3725167800098</v>
      </c>
      <c r="D13" s="51" t="n">
        <v>960.0489689283843</v>
      </c>
      <c r="E13" s="40">
        <f>(C13-B13)+C13</f>
        <v/>
      </c>
      <c r="F13" s="41">
        <f>(C13-D13)/C13</f>
        <v/>
      </c>
      <c r="G13" s="44" t="n">
        <v>82842</v>
      </c>
      <c r="H13" s="43" t="n">
        <v>84710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23047</v>
      </c>
      <c r="N13" s="21" t="n">
        <v>23367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59795</v>
      </c>
      <c r="T13" s="43" t="n">
        <v>61343</v>
      </c>
      <c r="U13" s="16">
        <f>I13-O13</f>
        <v/>
      </c>
      <c r="V13" s="17" t="n">
        <v>36</v>
      </c>
      <c r="W13" s="19">
        <f>T13+U13+V13</f>
        <v/>
      </c>
      <c r="AC13" s="42" t="n">
        <v>82801</v>
      </c>
      <c r="AD13" s="43" t="n">
        <v>84659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4015.011143162104</v>
      </c>
      <c r="C14" s="40" t="n">
        <v>4060.67922415861</v>
      </c>
      <c r="D14" s="51" t="n">
        <v>4061.911350205058</v>
      </c>
      <c r="E14" s="40">
        <f>(C14-B14)+C14</f>
        <v/>
      </c>
      <c r="F14" s="41">
        <f>(C14-D14)/C14</f>
        <v/>
      </c>
      <c r="G14" s="44" t="n">
        <v>279940</v>
      </c>
      <c r="H14" s="43" t="n">
        <v>285230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97922</v>
      </c>
      <c r="N14" s="21" t="n">
        <v>99432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182018</v>
      </c>
      <c r="T14" s="43" t="n">
        <v>185798</v>
      </c>
      <c r="U14" s="16">
        <f>I14-O14</f>
        <v/>
      </c>
      <c r="V14" s="17" t="n">
        <v>50</v>
      </c>
      <c r="W14" s="19">
        <f>T14+U14+V14</f>
        <v/>
      </c>
      <c r="AC14" s="42" t="n">
        <v>279819</v>
      </c>
      <c r="AD14" s="43" t="n">
        <v>285086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3163.738540786717</v>
      </c>
      <c r="C15" s="40" t="n">
        <v>3213.77623156452</v>
      </c>
      <c r="D15" s="51" t="n">
        <v>3212.241408601924</v>
      </c>
      <c r="E15" s="40">
        <f>(C15-B15)+C15</f>
        <v/>
      </c>
      <c r="F15" s="41">
        <f>(C15-D15)/C15</f>
        <v/>
      </c>
      <c r="G15" s="44" t="n">
        <v>271799</v>
      </c>
      <c r="H15" s="43" t="n">
        <v>276077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89744</v>
      </c>
      <c r="N15" s="21" t="n">
        <v>90959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182055</v>
      </c>
      <c r="T15" s="43" t="n">
        <v>185118</v>
      </c>
      <c r="U15" s="16">
        <f>I15-O15</f>
        <v/>
      </c>
      <c r="V15" s="17" t="n">
        <v>53</v>
      </c>
      <c r="W15" s="19">
        <f>T15+U15+V15</f>
        <v/>
      </c>
      <c r="AC15" s="42" t="n">
        <v>271672</v>
      </c>
      <c r="AD15" s="43" t="n">
        <v>275935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559.9704832858788</v>
      </c>
      <c r="C16" s="40" t="n">
        <v>571.5810640877687</v>
      </c>
      <c r="D16" s="51" t="n">
        <v>572.2755034341999</v>
      </c>
      <c r="E16" s="40">
        <f>(C16-B16)+C16</f>
        <v/>
      </c>
      <c r="F16" s="41">
        <f>(C16-D16)/C16</f>
        <v/>
      </c>
      <c r="G16" s="44" t="n">
        <v>75778</v>
      </c>
      <c r="H16" s="43" t="n">
        <v>77100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21542</v>
      </c>
      <c r="N16" s="21" t="n">
        <v>21851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54236</v>
      </c>
      <c r="T16" s="43" t="n">
        <v>55249</v>
      </c>
      <c r="U16" s="16">
        <f>I16-O16</f>
        <v/>
      </c>
      <c r="V16" s="17" t="n">
        <v>11</v>
      </c>
      <c r="W16" s="19">
        <f>T16+U16+V16</f>
        <v/>
      </c>
      <c r="AC16" s="42" t="n">
        <v>75752</v>
      </c>
      <c r="AD16" s="43" t="n">
        <v>77053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5156.066826425629</v>
      </c>
      <c r="C17" s="40" t="n">
        <v>5222.375629032977</v>
      </c>
      <c r="D17" s="51" t="n">
        <v>5222.212930325747</v>
      </c>
      <c r="E17" s="40">
        <f>(C17-B17)+C17</f>
        <v/>
      </c>
      <c r="F17" s="41">
        <f>(C17-D17)/C17</f>
        <v/>
      </c>
      <c r="G17" s="44" t="n">
        <v>323729</v>
      </c>
      <c r="H17" s="43" t="n">
        <v>327693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160870</v>
      </c>
      <c r="N17" s="21" t="n">
        <v>162852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162859</v>
      </c>
      <c r="T17" s="43" t="n">
        <v>164841</v>
      </c>
      <c r="U17" s="16">
        <f>I17-O17</f>
        <v/>
      </c>
      <c r="V17" s="17" t="n">
        <v>147</v>
      </c>
      <c r="W17" s="19">
        <f>T17+U17+V17</f>
        <v/>
      </c>
      <c r="AC17" s="42" t="n">
        <v>323584</v>
      </c>
      <c r="AD17" s="43" t="n">
        <v>327521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1698.69561921818</v>
      </c>
      <c r="C18" s="40" t="n">
        <v>1714.389964101927</v>
      </c>
      <c r="D18" s="51" t="n">
        <v>1713.881160428008</v>
      </c>
      <c r="E18" s="40">
        <f>(C18-B18)+C18</f>
        <v/>
      </c>
      <c r="F18" s="41">
        <f>(C18-D18)/C18</f>
        <v/>
      </c>
      <c r="G18" s="44" t="n">
        <v>289027</v>
      </c>
      <c r="H18" s="43" t="n">
        <v>290475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40347</v>
      </c>
      <c r="N18" s="21" t="n">
        <v>40873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248680</v>
      </c>
      <c r="T18" s="43" t="n">
        <v>249602</v>
      </c>
      <c r="U18" s="16">
        <f>I18-O18</f>
        <v/>
      </c>
      <c r="V18" s="17" t="n">
        <v>28</v>
      </c>
      <c r="W18" s="19">
        <f>T18+U18+V18</f>
        <v/>
      </c>
      <c r="AC18" s="42" t="n">
        <v>288909</v>
      </c>
      <c r="AD18" s="43" t="n">
        <v>290342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1728.321706582205</v>
      </c>
      <c r="C19" s="40" t="n">
        <v>1752.000643794343</v>
      </c>
      <c r="D19" s="51" t="n">
        <v>1752.197245888878</v>
      </c>
      <c r="E19" s="40">
        <f>(C19-B19)+C19</f>
        <v/>
      </c>
      <c r="F19" s="41">
        <f>(C19-D19)/C19</f>
        <v/>
      </c>
      <c r="G19" s="44" t="n">
        <v>135051</v>
      </c>
      <c r="H19" s="43" t="n">
        <v>137130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45807</v>
      </c>
      <c r="N19" s="21" t="n">
        <v>46407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89244</v>
      </c>
      <c r="T19" s="43" t="n">
        <v>90723</v>
      </c>
      <c r="U19" s="16">
        <f>I19-O19</f>
        <v/>
      </c>
      <c r="V19" s="17" t="n">
        <v>60</v>
      </c>
      <c r="W19" s="19">
        <f>T19+U19+V19</f>
        <v/>
      </c>
      <c r="AC19" s="42" t="n">
        <v>134970</v>
      </c>
      <c r="AD19" s="43" t="n">
        <v>137019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692.9377839760051</v>
      </c>
      <c r="C20" s="40" t="n">
        <v>704.894344171376</v>
      </c>
      <c r="D20" s="51" t="n">
        <v>705.2936881876783</v>
      </c>
      <c r="E20" s="40">
        <f>(C20-B20)+C20</f>
        <v/>
      </c>
      <c r="F20" s="41">
        <f>(C20-D20)/C20</f>
        <v/>
      </c>
      <c r="G20" s="44" t="n">
        <v>82015</v>
      </c>
      <c r="H20" s="43" t="n">
        <v>83353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23963</v>
      </c>
      <c r="N20" s="21" t="n">
        <v>24299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58052</v>
      </c>
      <c r="T20" s="43" t="n">
        <v>59054</v>
      </c>
      <c r="U20" s="16">
        <f>I20-O20</f>
        <v/>
      </c>
      <c r="V20" s="17" t="n">
        <v>24</v>
      </c>
      <c r="W20" s="19">
        <f>T20+U20+V20</f>
        <v/>
      </c>
      <c r="AC20" s="42" t="n">
        <v>81960</v>
      </c>
      <c r="AD20" s="43" t="n">
        <v>83287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248.2121800987668</v>
      </c>
      <c r="C21" s="40" t="n">
        <v>252.5128723746355</v>
      </c>
      <c r="D21" s="51" t="n">
        <v>252.0530511300727</v>
      </c>
      <c r="E21" s="40">
        <f>(C21-B21)+C21</f>
        <v/>
      </c>
      <c r="F21" s="41">
        <f>(C21-D21)/C21</f>
        <v/>
      </c>
      <c r="G21" s="25" t="n">
        <v>23656</v>
      </c>
      <c r="H21" s="21" t="n">
        <v>23919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9806</v>
      </c>
      <c r="N21" s="21" t="n">
        <v>9898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13850</v>
      </c>
      <c r="T21" s="43" t="n">
        <v>14021</v>
      </c>
      <c r="U21" s="16">
        <f>I21-O21</f>
        <v/>
      </c>
      <c r="V21" s="17" t="n">
        <v>25</v>
      </c>
      <c r="W21" s="19">
        <f>T21+U21+V21</f>
        <v/>
      </c>
      <c r="AC21" s="25" t="n">
        <v>23641</v>
      </c>
      <c r="AD21" s="21" t="n">
        <v>23900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135.7918965036275</v>
      </c>
      <c r="C22" s="40" t="n">
        <v>138.2823480279905</v>
      </c>
      <c r="D22" s="51" t="n">
        <v>138.0430403374246</v>
      </c>
      <c r="E22" s="40">
        <f>(C22-B22)+C22</f>
        <v/>
      </c>
      <c r="F22" s="41">
        <f>(C22-D22)/C22</f>
        <v/>
      </c>
      <c r="G22" s="44" t="n">
        <v>11747</v>
      </c>
      <c r="H22" s="43" t="n">
        <v>11931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4514</v>
      </c>
      <c r="N22" s="21" t="n">
        <v>4600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7233</v>
      </c>
      <c r="T22" s="43" t="n">
        <v>7331</v>
      </c>
      <c r="U22" s="16">
        <f>I22-O22</f>
        <v/>
      </c>
      <c r="V22" s="17" t="n">
        <v>6</v>
      </c>
      <c r="W22" s="19">
        <f>T22+U22+V22</f>
        <v/>
      </c>
      <c r="AC22" s="42" t="n">
        <v>11729</v>
      </c>
      <c r="AD22" s="43" t="n">
        <v>11908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3860.438672402298</v>
      </c>
      <c r="C23" s="40" t="n">
        <v>3919.582632106969</v>
      </c>
      <c r="D23" s="51" t="n">
        <v>3920.977698362194</v>
      </c>
      <c r="E23" s="40">
        <f>(C23-B23)+C23</f>
        <v/>
      </c>
      <c r="F23" s="41">
        <f>(C23-D23)/C23</f>
        <v/>
      </c>
      <c r="G23" s="44" t="n">
        <v>416242</v>
      </c>
      <c r="H23" s="43" t="n">
        <v>421481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172189</v>
      </c>
      <c r="N23" s="21" t="n">
        <v>174350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244053</v>
      </c>
      <c r="T23" s="43" t="n">
        <v>247131</v>
      </c>
      <c r="U23" s="16">
        <f>I23-O23</f>
        <v/>
      </c>
      <c r="V23" s="17" t="n">
        <v>55</v>
      </c>
      <c r="W23" s="19">
        <f>T23+U23+V23</f>
        <v/>
      </c>
      <c r="AC23" s="42" t="n">
        <v>416109</v>
      </c>
      <c r="AD23" s="43" t="n">
        <v>421279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931.6293638555816</v>
      </c>
      <c r="C24" s="40" t="n">
        <v>945.6260869652634</v>
      </c>
      <c r="D24" s="51" t="n">
        <v>945.9198555455067</v>
      </c>
      <c r="E24" s="40">
        <f>(C24-B24)+C24</f>
        <v/>
      </c>
      <c r="F24" s="41">
        <f>(C24-D24)/C24</f>
        <v/>
      </c>
      <c r="G24" s="44" t="n">
        <v>101856</v>
      </c>
      <c r="H24" s="43" t="n">
        <v>103608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39451</v>
      </c>
      <c r="N24" s="21" t="n">
        <v>39917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62405</v>
      </c>
      <c r="T24" s="43" t="n">
        <v>63691</v>
      </c>
      <c r="U24" s="16">
        <f>I24-O24</f>
        <v/>
      </c>
      <c r="V24" s="17" t="n">
        <v>19</v>
      </c>
      <c r="W24" s="19">
        <f>T24+U24+V24</f>
        <v/>
      </c>
      <c r="AC24" s="42" t="n">
        <v>101809</v>
      </c>
      <c r="AD24" s="43" t="n">
        <v>103544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1188.302099948036</v>
      </c>
      <c r="C25" s="40" t="n">
        <v>1206.7469668678</v>
      </c>
      <c r="D25" s="51" t="n">
        <v>1208.481365749062</v>
      </c>
      <c r="E25" s="40">
        <f>(C25-B25)+C25</f>
        <v/>
      </c>
      <c r="F25" s="41">
        <f>(C25-D25)/C25</f>
        <v/>
      </c>
      <c r="G25" s="44" t="n">
        <v>151963</v>
      </c>
      <c r="H25" s="43" t="n">
        <v>153637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41898</v>
      </c>
      <c r="N25" s="21" t="n">
        <v>42527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110065</v>
      </c>
      <c r="T25" s="43" t="n">
        <v>111110</v>
      </c>
      <c r="U25" s="16">
        <f>I25-O25</f>
        <v/>
      </c>
      <c r="V25" s="17" t="n">
        <v>20</v>
      </c>
      <c r="W25" s="19">
        <f>T25+U25+V25</f>
        <v/>
      </c>
      <c r="AC25" s="42" t="n">
        <v>151923</v>
      </c>
      <c r="AD25" s="43" t="n">
        <v>153580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10103.02659837152</v>
      </c>
      <c r="C26" s="40" t="n">
        <v>10244.75029354756</v>
      </c>
      <c r="D26" s="51" t="n">
        <v>10243.71972888192</v>
      </c>
      <c r="E26" s="40">
        <f>(C26-B26)+C26</f>
        <v/>
      </c>
      <c r="F26" s="41">
        <f>(C26-D26)/C26</f>
        <v/>
      </c>
      <c r="G26" s="44" t="n">
        <v>171389</v>
      </c>
      <c r="H26" s="43" t="n">
        <v>173461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157418</v>
      </c>
      <c r="N26" s="21" t="n">
        <v>159277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13971</v>
      </c>
      <c r="T26" s="43" t="n">
        <v>14184</v>
      </c>
      <c r="U26" s="16">
        <f>I26-O26</f>
        <v/>
      </c>
      <c r="V26" s="17" t="n">
        <v>9</v>
      </c>
      <c r="W26" s="19">
        <f>T26+U26+V26</f>
        <v/>
      </c>
      <c r="AC26" s="42" t="n">
        <v>171215</v>
      </c>
      <c r="AD26" s="43" t="n">
        <v>173288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4744.091934401206</v>
      </c>
      <c r="C27" s="40" t="n">
        <v>4801.806911608742</v>
      </c>
      <c r="D27" s="51" t="n">
        <v>4805.193594434932</v>
      </c>
      <c r="E27" s="40">
        <f>(C27-B27)+C27</f>
        <v/>
      </c>
      <c r="F27" s="41">
        <f>(C27-D27)/C27</f>
        <v/>
      </c>
      <c r="G27" s="44" t="n">
        <v>293159</v>
      </c>
      <c r="H27" s="43" t="n">
        <v>296960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151680</v>
      </c>
      <c r="N27" s="21" t="n">
        <v>153654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141479</v>
      </c>
      <c r="T27" s="43" t="n">
        <v>143306</v>
      </c>
      <c r="U27" s="16">
        <f>I27-O27</f>
        <v/>
      </c>
      <c r="V27" s="17" t="n">
        <v>60</v>
      </c>
      <c r="W27" s="19">
        <f>T27+U27+V27</f>
        <v/>
      </c>
      <c r="AC27" s="42" t="n">
        <v>292993</v>
      </c>
      <c r="AD27" s="43" t="n">
        <v>296765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1530.946205975675</v>
      </c>
      <c r="C28" s="40" t="n">
        <v>1546.297395128442</v>
      </c>
      <c r="D28" s="51" t="n">
        <v>1546.358436225275</v>
      </c>
      <c r="E28" s="40">
        <f>(C28-B28)+C28</f>
        <v/>
      </c>
      <c r="F28" s="41">
        <f>(C28-D28)/C28</f>
        <v/>
      </c>
      <c r="G28" s="44" t="n">
        <v>46793</v>
      </c>
      <c r="H28" s="43" t="n">
        <v>47474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28088</v>
      </c>
      <c r="N28" s="21" t="n">
        <v>28453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18705</v>
      </c>
      <c r="T28" s="43" t="n">
        <v>19021</v>
      </c>
      <c r="U28" s="16">
        <f>I28-O28</f>
        <v/>
      </c>
      <c r="V28" s="17" t="n">
        <v>6</v>
      </c>
      <c r="W28" s="19">
        <f>T28+U28+V28</f>
        <v/>
      </c>
      <c r="AC28" s="42" t="n">
        <v>46761</v>
      </c>
      <c r="AD28" s="43" t="n">
        <v>47437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51.62297131840753</v>
      </c>
      <c r="C29" s="40" t="n">
        <v>52.26643093977362</v>
      </c>
      <c r="D29" s="51" t="n">
        <v>52.4036839089114</v>
      </c>
      <c r="E29" s="40">
        <f>(C29-B29)+C29</f>
        <v/>
      </c>
      <c r="F29" s="41">
        <f>(C29-D29)/C29</f>
        <v/>
      </c>
      <c r="G29" s="44" t="n">
        <v>3535</v>
      </c>
      <c r="H29" s="43" t="n">
        <v>3572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1315</v>
      </c>
      <c r="N29" s="21" t="n">
        <v>1324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2220</v>
      </c>
      <c r="T29" s="43" t="n">
        <v>2248</v>
      </c>
      <c r="U29" s="16">
        <f>I29-O29</f>
        <v/>
      </c>
      <c r="V29" s="17" t="n">
        <v>1</v>
      </c>
      <c r="W29" s="19">
        <f>T29+U29+V29</f>
        <v/>
      </c>
      <c r="AC29" s="42" t="n">
        <v>3529</v>
      </c>
      <c r="AD29" s="43" t="n">
        <v>3564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930.1238510804385</v>
      </c>
      <c r="C30" s="40" t="n">
        <v>943.9748751673466</v>
      </c>
      <c r="D30" s="51" t="n">
        <v>944.3272581090145</v>
      </c>
      <c r="E30" s="40">
        <f>(C30-B30)+C30</f>
        <v/>
      </c>
      <c r="F30" s="41">
        <f>(C30-D30)/C30</f>
        <v/>
      </c>
      <c r="G30" s="44" t="n">
        <v>87379</v>
      </c>
      <c r="H30" s="43" t="n">
        <v>88781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22477</v>
      </c>
      <c r="N30" s="21" t="n">
        <v>22789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64902</v>
      </c>
      <c r="T30" s="43" t="n">
        <v>65992</v>
      </c>
      <c r="U30" s="16">
        <f>I30-O30</f>
        <v/>
      </c>
      <c r="V30" s="17" t="n">
        <v>29</v>
      </c>
      <c r="W30" s="19">
        <f>T30+U30+V30</f>
        <v/>
      </c>
      <c r="AC30" s="42" t="n">
        <v>87341</v>
      </c>
      <c r="AD30" s="43" t="n">
        <v>88719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1816.523838195033</v>
      </c>
      <c r="C31" s="40" t="n">
        <v>1841.41856487242</v>
      </c>
      <c r="D31" s="51" t="n">
        <v>1840.240842287055</v>
      </c>
      <c r="E31" s="40">
        <f>(C31-B31)+C31</f>
        <v/>
      </c>
      <c r="F31" s="41">
        <f>(C31-D31)/C31</f>
        <v/>
      </c>
      <c r="G31" s="44" t="n">
        <v>175176</v>
      </c>
      <c r="H31" s="43" t="n">
        <v>177907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60372</v>
      </c>
      <c r="N31" s="21" t="n">
        <v>61176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114804</v>
      </c>
      <c r="T31" s="43" t="n">
        <v>116731</v>
      </c>
      <c r="U31" s="16">
        <f>I31-O31</f>
        <v/>
      </c>
      <c r="V31" s="17" t="n">
        <v>45</v>
      </c>
      <c r="W31" s="19">
        <f>T31+U31+V31</f>
        <v/>
      </c>
      <c r="AC31" s="42" t="n">
        <v>175090</v>
      </c>
      <c r="AD31" s="43" t="n">
        <v>177782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9037.919260305043</v>
      </c>
      <c r="C32" s="40" t="n">
        <v>9146.367357932086</v>
      </c>
      <c r="D32" s="51" t="n">
        <v>9138.310898381842</v>
      </c>
      <c r="E32" s="40">
        <f>(C32-B32)+C32</f>
        <v/>
      </c>
      <c r="F32" s="41">
        <f>(C32-D32)/C32</f>
        <v/>
      </c>
      <c r="G32" s="44" t="n">
        <v>355118</v>
      </c>
      <c r="H32" s="43" t="n">
        <v>359801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184720</v>
      </c>
      <c r="N32" s="21" t="n">
        <v>187176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170398</v>
      </c>
      <c r="T32" s="43" t="n">
        <v>172625</v>
      </c>
      <c r="U32" s="16">
        <f>I32-O32</f>
        <v/>
      </c>
      <c r="V32" s="17" t="n">
        <v>56</v>
      </c>
      <c r="W32" s="19">
        <f>T32+U32+V32</f>
        <v/>
      </c>
      <c r="AC32" s="42" t="n">
        <v>354953</v>
      </c>
      <c r="AD32" s="43" t="n">
        <v>359609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2225.083343383665</v>
      </c>
      <c r="C33" s="40" t="n">
        <v>2252.958562477834</v>
      </c>
      <c r="D33" s="51" t="n">
        <v>2254.334785788706</v>
      </c>
      <c r="E33" s="40">
        <f>(C33-B33)+C33</f>
        <v/>
      </c>
      <c r="F33" s="41">
        <f>(C33-D33)/C33</f>
        <v/>
      </c>
      <c r="G33" s="44" t="n">
        <v>107934</v>
      </c>
      <c r="H33" s="43" t="n">
        <v>109624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59414</v>
      </c>
      <c r="N33" s="21" t="n">
        <v>60205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48520</v>
      </c>
      <c r="T33" s="43" t="n">
        <v>49419</v>
      </c>
      <c r="U33" s="16">
        <f>I33-O33</f>
        <v/>
      </c>
      <c r="V33" s="17" t="n">
        <v>15</v>
      </c>
      <c r="W33" s="19">
        <f>T33+U33+V33</f>
        <v/>
      </c>
      <c r="AC33" s="42" t="n">
        <v>107871</v>
      </c>
      <c r="AD33" s="43" t="n">
        <v>109549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5820137.990541538</v>
      </c>
      <c r="C34" s="28" t="n">
        <v>6087197.123366405</v>
      </c>
      <c r="D34" s="53" t="n">
        <v>6085648.5713554</v>
      </c>
      <c r="E34" s="28">
        <f>(C34-B34)+C34</f>
        <v/>
      </c>
      <c r="F34" s="30">
        <f>(C34-D34)/C34</f>
        <v/>
      </c>
      <c r="G34" s="26" t="n">
        <v>53537730</v>
      </c>
      <c r="H34" s="31" t="n">
        <v>54517466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2942991</v>
      </c>
      <c r="N34" s="33" t="n">
        <v>2980449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3965268</v>
      </c>
      <c r="T34" s="31" t="n">
        <v>4020734</v>
      </c>
      <c r="U34" s="31" t="n">
        <v>240028</v>
      </c>
      <c r="V34" s="31" t="n">
        <v>1244</v>
      </c>
      <c r="W34" s="31">
        <f>T34+U34+V34</f>
        <v/>
      </c>
      <c r="X34" s="32" t="n">
        <v>46629471</v>
      </c>
      <c r="Y34" s="34" t="n">
        <v>47516283</v>
      </c>
      <c r="Z34" s="34" t="n">
        <v>4986</v>
      </c>
      <c r="AA34" s="34" t="n">
        <v>272</v>
      </c>
      <c r="AB34" s="34">
        <f>Y34+Z34+AA34</f>
        <v/>
      </c>
      <c r="AC34" s="35" t="n">
        <v>6904366</v>
      </c>
      <c r="AD34" s="31" t="n">
        <v>6996529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39656</v>
      </c>
      <c r="E39" s="17">
        <f>D39+C39</f>
        <v/>
      </c>
    </row>
    <row r="40"/>
    <row r="41"/>
    <row r="42">
      <c r="A42" s="9" t="n"/>
      <c r="B42" s="54" t="n"/>
    </row>
    <row r="43"/>
    <row r="44">
      <c r="A44" s="9" t="n"/>
    </row>
    <row r="45">
      <c r="A45" s="9" t="n"/>
      <c r="B45" s="54" t="n"/>
      <c r="E45" s="9" t="n"/>
    </row>
    <row r="46"/>
    <row r="47">
      <c r="A47" s="9" t="n"/>
      <c r="B47" s="54" t="n"/>
      <c r="E47" s="9" t="n"/>
    </row>
    <row r="48"/>
    <row r="49">
      <c r="A49" s="9" t="n"/>
      <c r="B49" s="54" t="n"/>
      <c r="E49" s="9" t="n"/>
    </row>
    <row r="50"/>
    <row r="51">
      <c r="A51" s="9" t="n"/>
      <c r="B51" s="54" t="n"/>
      <c r="E51" s="9" t="n"/>
    </row>
    <row r="52"/>
    <row r="53">
      <c r="A53" s="9" t="n"/>
      <c r="B53" s="54" t="n"/>
      <c r="E53" s="9" t="n"/>
    </row>
    <row r="54"/>
    <row r="55">
      <c r="A55" s="9" t="n"/>
      <c r="B55" s="54" t="n"/>
      <c r="E55" s="9" t="n"/>
    </row>
    <row r="56"/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2026-02-25T06:50:34Z</dcterms:modified>
  <cp:lastModifiedBy>T156378</cp:lastModifiedBy>
</cp:coreProperties>
</file>