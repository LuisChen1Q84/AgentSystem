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380" tabRatio="600" firstSheet="0" activeTab="0" autoFilterDateGrouping="1"/>
  </bookViews>
  <sheets>
    <sheet xmlns:r="http://schemas.openxmlformats.org/officeDocument/2006/relationships" name="2026年1月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7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color theme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0"/>
    </font>
    <font>
      <name val="等线"/>
      <charset val="134"/>
      <family val="3"/>
      <sz val="9"/>
      <scheme val="minor"/>
    </font>
    <font>
      <name val="等线"/>
      <charset val="134"/>
      <family val="4"/>
      <color rgb="FF000000"/>
      <sz val="10"/>
    </font>
    <font>
      <name val="等线"/>
      <charset val="134"/>
      <family val="4"/>
      <color theme="1"/>
      <sz val="10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164" fontId="6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selection activeCell="U16" sqref="U16"/>
    </sheetView>
  </sheetViews>
  <sheetFormatPr baseColWidth="10" defaultRowHeight="16"/>
  <cols>
    <col width="16.5" customWidth="1" style="13" min="3" max="3"/>
    <col width="19" customWidth="1" style="13" min="4" max="4"/>
  </cols>
  <sheetData>
    <row r="1" ht="28" customHeight="1" s="13">
      <c r="A1" s="1" t="inlineStr">
        <is>
          <t>月份</t>
        </is>
      </c>
      <c r="B1" s="1" t="inlineStr">
        <is>
          <t>地区</t>
        </is>
      </c>
      <c r="C1" s="2" t="inlineStr">
        <is>
          <t>存量终端：小绿盒</t>
        </is>
      </c>
      <c r="D1" s="3" t="inlineStr">
        <is>
          <t>存量终端：青蛙pro商业</t>
        </is>
      </c>
      <c r="E1" s="3" t="inlineStr">
        <is>
          <t>终端总数</t>
        </is>
      </c>
      <c r="F1" s="4" t="inlineStr">
        <is>
          <t>2025年12月终端总数</t>
        </is>
      </c>
      <c r="G1" s="3" t="inlineStr">
        <is>
          <t>总数环比波动</t>
        </is>
      </c>
      <c r="H1" s="3" t="inlineStr">
        <is>
          <t>小绿盒5要素齐全</t>
        </is>
      </c>
      <c r="I1" s="3" t="inlineStr">
        <is>
          <t>青蛙五要素齐全</t>
        </is>
      </c>
      <c r="J1" s="3" t="inlineStr">
        <is>
          <t>5要素齐全总数</t>
        </is>
      </c>
      <c r="K1" s="3" t="inlineStr">
        <is>
          <t>差值</t>
        </is>
      </c>
      <c r="L1" s="3" t="inlineStr">
        <is>
          <t>辅助终端：静态码牌</t>
        </is>
      </c>
      <c r="M1" s="3" t="inlineStr">
        <is>
          <t>辅助终端：青蛙非商业</t>
        </is>
      </c>
      <c r="N1" s="3" t="inlineStr">
        <is>
          <t>辅助终端总数</t>
        </is>
      </c>
      <c r="O1" s="3" t="inlineStr">
        <is>
          <t>码牌4要素齐全</t>
        </is>
      </c>
      <c r="P1" s="3" t="inlineStr">
        <is>
          <t>青蛙非商业4要素齐全</t>
        </is>
      </c>
      <c r="Q1" s="3" t="inlineStr">
        <is>
          <t>4要素齐全总数</t>
        </is>
      </c>
      <c r="R1" s="3" t="inlineStr">
        <is>
          <t>差值</t>
        </is>
      </c>
    </row>
    <row r="2">
      <c r="A2" s="5" t="n">
        <v>202601</v>
      </c>
      <c r="B2" s="6" t="inlineStr">
        <is>
          <t>安徽省</t>
        </is>
      </c>
      <c r="C2" s="14" t="n">
        <v>112</v>
      </c>
      <c r="D2" s="15" t="n">
        <v>28</v>
      </c>
      <c r="E2" s="14">
        <f>C2+D2</f>
        <v/>
      </c>
      <c r="F2" s="14" t="n">
        <v>113</v>
      </c>
      <c r="G2" s="8">
        <f>(E2-F2)/F2</f>
        <v/>
      </c>
      <c r="H2" s="14" t="n">
        <v>112</v>
      </c>
      <c r="I2" s="14" t="n">
        <v>28</v>
      </c>
      <c r="J2" s="15">
        <f>H2+I2</f>
        <v/>
      </c>
      <c r="K2" s="15">
        <f>J2-E2</f>
        <v/>
      </c>
      <c r="L2" s="14" t="n">
        <v>9907</v>
      </c>
      <c r="M2" s="14" t="n">
        <v>759</v>
      </c>
      <c r="N2" s="14">
        <f>L2+M2</f>
        <v/>
      </c>
      <c r="O2" s="14" t="n">
        <v>9905</v>
      </c>
      <c r="P2" s="16" t="n">
        <v>753</v>
      </c>
      <c r="Q2" s="14">
        <f>O2+P2</f>
        <v/>
      </c>
      <c r="R2" s="14">
        <f>Q2-N2</f>
        <v/>
      </c>
    </row>
    <row r="3">
      <c r="A3" s="5" t="n">
        <v>202601</v>
      </c>
      <c r="B3" s="6" t="inlineStr">
        <is>
          <t>北京市</t>
        </is>
      </c>
      <c r="C3" s="14" t="n">
        <v>153</v>
      </c>
      <c r="D3" s="15" t="n">
        <v>13</v>
      </c>
      <c r="E3" s="14">
        <f>C3+D3</f>
        <v/>
      </c>
      <c r="F3" s="14" t="n">
        <v>156</v>
      </c>
      <c r="G3" s="8">
        <f>(E3-F3)/F3</f>
        <v/>
      </c>
      <c r="H3" s="14" t="n">
        <v>150</v>
      </c>
      <c r="I3" s="14" t="n">
        <v>13</v>
      </c>
      <c r="J3" s="15">
        <f>H3+I3</f>
        <v/>
      </c>
      <c r="K3" s="15">
        <f>J3-E3</f>
        <v/>
      </c>
      <c r="L3" s="14" t="n">
        <v>23961</v>
      </c>
      <c r="M3" s="14" t="n">
        <v>420</v>
      </c>
      <c r="N3" s="14">
        <f>L3+M3</f>
        <v/>
      </c>
      <c r="O3" s="14" t="n">
        <v>23961</v>
      </c>
      <c r="P3" s="16" t="n">
        <v>419</v>
      </c>
      <c r="Q3" s="14">
        <f>O3+P3</f>
        <v/>
      </c>
      <c r="R3" s="14">
        <f>Q3-N3</f>
        <v/>
      </c>
    </row>
    <row r="4">
      <c r="A4" s="5" t="n">
        <v>202601</v>
      </c>
      <c r="B4" s="11" t="inlineStr">
        <is>
          <t>福建省(不含厦门)</t>
        </is>
      </c>
      <c r="C4" s="14" t="n">
        <v>122</v>
      </c>
      <c r="D4" s="14" t="n">
        <v>19</v>
      </c>
      <c r="E4" s="14">
        <f>C4+D4</f>
        <v/>
      </c>
      <c r="F4" s="14" t="n">
        <v>128</v>
      </c>
      <c r="G4" s="8">
        <f>(E4-F4)/F4</f>
        <v/>
      </c>
      <c r="H4" s="14" t="n">
        <v>122</v>
      </c>
      <c r="I4" s="14" t="n">
        <v>19</v>
      </c>
      <c r="J4" s="15">
        <f>H4+I4</f>
        <v/>
      </c>
      <c r="K4" s="15">
        <f>J4-E4</f>
        <v/>
      </c>
      <c r="L4" s="14" t="n">
        <v>12659</v>
      </c>
      <c r="M4" s="14" t="n">
        <v>777</v>
      </c>
      <c r="N4" s="14">
        <f>L4+M4</f>
        <v/>
      </c>
      <c r="O4" s="14" t="n">
        <v>12659</v>
      </c>
      <c r="P4" s="16" t="n">
        <v>777</v>
      </c>
      <c r="Q4" s="14">
        <f>O4+P4</f>
        <v/>
      </c>
      <c r="R4" s="14">
        <f>Q4-N4</f>
        <v/>
      </c>
    </row>
    <row r="5">
      <c r="A5" s="5" t="n">
        <v>202601</v>
      </c>
      <c r="B5" s="6" t="inlineStr">
        <is>
          <t>甘肃省</t>
        </is>
      </c>
      <c r="C5" s="14" t="n">
        <v>96</v>
      </c>
      <c r="D5" s="15" t="n">
        <v>30</v>
      </c>
      <c r="E5" s="14">
        <f>C5+D5</f>
        <v/>
      </c>
      <c r="F5" s="14" t="n">
        <v>115</v>
      </c>
      <c r="G5" s="8">
        <f>(E5-F5)/F5</f>
        <v/>
      </c>
      <c r="H5" s="14" t="n">
        <v>94</v>
      </c>
      <c r="I5" s="14" t="n">
        <v>30</v>
      </c>
      <c r="J5" s="15">
        <f>H5+I5</f>
        <v/>
      </c>
      <c r="K5" s="15">
        <f>J5-E5</f>
        <v/>
      </c>
      <c r="L5" s="14" t="n">
        <v>4626</v>
      </c>
      <c r="M5" s="14" t="n">
        <v>25</v>
      </c>
      <c r="N5" s="14">
        <f>L5+M5</f>
        <v/>
      </c>
      <c r="O5" s="14" t="n">
        <v>4626</v>
      </c>
      <c r="P5" s="16" t="n">
        <v>25</v>
      </c>
      <c r="Q5" s="14">
        <f>O5+P5</f>
        <v/>
      </c>
      <c r="R5" s="14">
        <f>Q5-N5</f>
        <v/>
      </c>
    </row>
    <row r="6">
      <c r="A6" s="5" t="n">
        <v>202601</v>
      </c>
      <c r="B6" s="11" t="inlineStr">
        <is>
          <t>广东省（不含深圳）</t>
        </is>
      </c>
      <c r="C6" s="14" t="n">
        <v>1018</v>
      </c>
      <c r="D6" s="14" t="n">
        <v>134</v>
      </c>
      <c r="E6" s="14">
        <f>C6+D6</f>
        <v/>
      </c>
      <c r="F6" s="14" t="n">
        <v>1019</v>
      </c>
      <c r="G6" s="8">
        <f>(E6-F6)/F6</f>
        <v/>
      </c>
      <c r="H6" s="14" t="n">
        <v>1011</v>
      </c>
      <c r="I6" s="14" t="n">
        <v>134</v>
      </c>
      <c r="J6" s="15">
        <f>H6+I6</f>
        <v/>
      </c>
      <c r="K6" s="15">
        <f>J6-E6</f>
        <v/>
      </c>
      <c r="L6" s="14" t="n">
        <v>58256</v>
      </c>
      <c r="M6" s="14" t="n">
        <v>19463</v>
      </c>
      <c r="N6" s="14">
        <f>L6+M6</f>
        <v/>
      </c>
      <c r="O6" s="14" t="n">
        <v>58249</v>
      </c>
      <c r="P6" s="16" t="n">
        <v>19456</v>
      </c>
      <c r="Q6" s="14">
        <f>O6+P6</f>
        <v/>
      </c>
      <c r="R6" s="14">
        <f>Q6-N6</f>
        <v/>
      </c>
    </row>
    <row r="7">
      <c r="A7" s="5" t="n">
        <v>202601</v>
      </c>
      <c r="B7" s="6" t="inlineStr">
        <is>
          <t>广西壮族自治区</t>
        </is>
      </c>
      <c r="C7" s="14" t="n">
        <v>176</v>
      </c>
      <c r="D7" s="15" t="n">
        <v>45</v>
      </c>
      <c r="E7" s="14">
        <f>C7+D7</f>
        <v/>
      </c>
      <c r="F7" s="14" t="n">
        <v>204</v>
      </c>
      <c r="G7" s="8">
        <f>(E7-F7)/F7</f>
        <v/>
      </c>
      <c r="H7" s="14" t="n">
        <v>174</v>
      </c>
      <c r="I7" s="14" t="n">
        <v>45</v>
      </c>
      <c r="J7" s="15">
        <f>H7+I7</f>
        <v/>
      </c>
      <c r="K7" s="15">
        <f>J7-E7</f>
        <v/>
      </c>
      <c r="L7" s="14" t="n">
        <v>12883</v>
      </c>
      <c r="M7" s="14" t="n">
        <v>1161</v>
      </c>
      <c r="N7" s="14">
        <f>L7+M7</f>
        <v/>
      </c>
      <c r="O7" s="14" t="n">
        <v>12881</v>
      </c>
      <c r="P7" s="16" t="n">
        <v>1161</v>
      </c>
      <c r="Q7" s="14">
        <f>O7+P7</f>
        <v/>
      </c>
      <c r="R7" s="14">
        <f>Q7-N7</f>
        <v/>
      </c>
    </row>
    <row r="8">
      <c r="A8" s="5" t="n">
        <v>202601</v>
      </c>
      <c r="B8" s="6" t="inlineStr">
        <is>
          <t>贵州省</t>
        </is>
      </c>
      <c r="C8" s="14" t="n">
        <v>109</v>
      </c>
      <c r="D8" s="15" t="n">
        <v>18</v>
      </c>
      <c r="E8" s="14">
        <f>C8+D8</f>
        <v/>
      </c>
      <c r="F8" s="14" t="n">
        <v>108</v>
      </c>
      <c r="G8" s="8">
        <f>(E8-F8)/F8</f>
        <v/>
      </c>
      <c r="H8" s="14" t="n">
        <v>109</v>
      </c>
      <c r="I8" s="14" t="n">
        <v>18</v>
      </c>
      <c r="J8" s="15">
        <f>H8+I8</f>
        <v/>
      </c>
      <c r="K8" s="15">
        <f>J8-E8</f>
        <v/>
      </c>
      <c r="L8" s="14" t="n">
        <v>7678</v>
      </c>
      <c r="M8" s="14" t="n">
        <v>397</v>
      </c>
      <c r="N8" s="14">
        <f>L8+M8</f>
        <v/>
      </c>
      <c r="O8" s="14" t="n">
        <v>7678</v>
      </c>
      <c r="P8" s="16" t="n">
        <v>397</v>
      </c>
      <c r="Q8" s="14">
        <f>O8+P8</f>
        <v/>
      </c>
      <c r="R8" s="14">
        <f>Q8-N8</f>
        <v/>
      </c>
    </row>
    <row r="9">
      <c r="A9" s="5" t="n">
        <v>202601</v>
      </c>
      <c r="B9" s="6" t="inlineStr">
        <is>
          <t>海南省</t>
        </is>
      </c>
      <c r="C9" s="14" t="n">
        <v>80</v>
      </c>
      <c r="D9" s="15" t="n">
        <v>7</v>
      </c>
      <c r="E9" s="14">
        <f>C9+D9</f>
        <v/>
      </c>
      <c r="F9" s="14" t="n">
        <v>72</v>
      </c>
      <c r="G9" s="8">
        <f>(E9-F9)/F9</f>
        <v/>
      </c>
      <c r="H9" s="14" t="n">
        <v>80</v>
      </c>
      <c r="I9" s="14" t="n">
        <v>7</v>
      </c>
      <c r="J9" s="15">
        <f>H9+I9</f>
        <v/>
      </c>
      <c r="K9" s="15">
        <f>J9-E9</f>
        <v/>
      </c>
      <c r="L9" s="14" t="n">
        <v>10589</v>
      </c>
      <c r="M9" s="14" t="n">
        <v>243</v>
      </c>
      <c r="N9" s="14">
        <f>L9+M9</f>
        <v/>
      </c>
      <c r="O9" s="14" t="n">
        <v>10585</v>
      </c>
      <c r="P9" s="16" t="n">
        <v>243</v>
      </c>
      <c r="Q9" s="14">
        <f>O9+P9</f>
        <v/>
      </c>
      <c r="R9" s="14">
        <f>Q9-N9</f>
        <v/>
      </c>
    </row>
    <row r="10">
      <c r="A10" s="5" t="n">
        <v>202601</v>
      </c>
      <c r="B10" s="6" t="inlineStr">
        <is>
          <t>河北省</t>
        </is>
      </c>
      <c r="C10" s="14" t="n">
        <v>320</v>
      </c>
      <c r="D10" s="15" t="n">
        <v>69</v>
      </c>
      <c r="E10" s="14">
        <f>C10+D10</f>
        <v/>
      </c>
      <c r="F10" s="14" t="n">
        <v>344</v>
      </c>
      <c r="G10" s="8">
        <f>(E10-F10)/F10</f>
        <v/>
      </c>
      <c r="H10" s="14" t="n">
        <v>320</v>
      </c>
      <c r="I10" s="14" t="n">
        <v>69</v>
      </c>
      <c r="J10" s="15">
        <f>H10+I10</f>
        <v/>
      </c>
      <c r="K10" s="15">
        <f>J10-E10</f>
        <v/>
      </c>
      <c r="L10" s="14" t="n">
        <v>18003</v>
      </c>
      <c r="M10" s="14" t="n">
        <v>1099</v>
      </c>
      <c r="N10" s="14">
        <f>L10+M10</f>
        <v/>
      </c>
      <c r="O10" s="14" t="n">
        <v>18001</v>
      </c>
      <c r="P10" s="16" t="n">
        <v>1099</v>
      </c>
      <c r="Q10" s="14">
        <f>O10+P10</f>
        <v/>
      </c>
      <c r="R10" s="14">
        <f>Q10-N10</f>
        <v/>
      </c>
    </row>
    <row r="11">
      <c r="A11" s="5" t="n">
        <v>202601</v>
      </c>
      <c r="B11" s="6" t="inlineStr">
        <is>
          <t>河南省</t>
        </is>
      </c>
      <c r="C11" s="14" t="n">
        <v>209</v>
      </c>
      <c r="D11" s="15" t="n">
        <v>46</v>
      </c>
      <c r="E11" s="14">
        <f>C11+D11</f>
        <v/>
      </c>
      <c r="F11" s="14" t="n">
        <v>223</v>
      </c>
      <c r="G11" s="8">
        <f>(E11-F11)/F11</f>
        <v/>
      </c>
      <c r="H11" s="14" t="n">
        <v>207</v>
      </c>
      <c r="I11" s="14" t="n">
        <v>46</v>
      </c>
      <c r="J11" s="15">
        <f>H11+I11</f>
        <v/>
      </c>
      <c r="K11" s="15">
        <f>J11-E11</f>
        <v/>
      </c>
      <c r="L11" s="14" t="n">
        <v>20315</v>
      </c>
      <c r="M11" s="14" t="n">
        <v>821</v>
      </c>
      <c r="N11" s="14">
        <f>L11+M11</f>
        <v/>
      </c>
      <c r="O11" s="14" t="n">
        <v>20314</v>
      </c>
      <c r="P11" s="16" t="n">
        <v>821</v>
      </c>
      <c r="Q11" s="14">
        <f>O11+P11</f>
        <v/>
      </c>
      <c r="R11" s="14">
        <f>Q11-N11</f>
        <v/>
      </c>
    </row>
    <row r="12">
      <c r="A12" s="5" t="n">
        <v>202601</v>
      </c>
      <c r="B12" s="6" t="inlineStr">
        <is>
          <t>黑龙江省</t>
        </is>
      </c>
      <c r="C12" s="14" t="n">
        <v>115</v>
      </c>
      <c r="D12" s="15" t="n">
        <v>19</v>
      </c>
      <c r="E12" s="14">
        <f>C12+D12</f>
        <v/>
      </c>
      <c r="F12" s="14" t="n">
        <v>123</v>
      </c>
      <c r="G12" s="8">
        <f>(E12-F12)/F12</f>
        <v/>
      </c>
      <c r="H12" s="14" t="n">
        <v>114</v>
      </c>
      <c r="I12" s="14" t="n">
        <v>19</v>
      </c>
      <c r="J12" s="15">
        <f>H12+I12</f>
        <v/>
      </c>
      <c r="K12" s="15">
        <f>J12-E12</f>
        <v/>
      </c>
      <c r="L12" s="14" t="n">
        <v>7089</v>
      </c>
      <c r="M12" s="14" t="n">
        <v>195</v>
      </c>
      <c r="N12" s="14">
        <f>L12+M12</f>
        <v/>
      </c>
      <c r="O12" s="14" t="n">
        <v>7085</v>
      </c>
      <c r="P12" s="16" t="n">
        <v>195</v>
      </c>
      <c r="Q12" s="14">
        <f>O12+P12</f>
        <v/>
      </c>
      <c r="R12" s="14">
        <f>Q12-N12</f>
        <v/>
      </c>
    </row>
    <row r="13">
      <c r="A13" s="5" t="n">
        <v>202601</v>
      </c>
      <c r="B13" s="6" t="inlineStr">
        <is>
          <t>湖北省</t>
        </is>
      </c>
      <c r="C13" s="14" t="n">
        <v>155</v>
      </c>
      <c r="D13" s="15" t="n">
        <v>19</v>
      </c>
      <c r="E13" s="14">
        <f>C13+D13</f>
        <v/>
      </c>
      <c r="F13" s="14" t="n">
        <v>149</v>
      </c>
      <c r="G13" s="8">
        <f>(E13-F13)/F13</f>
        <v/>
      </c>
      <c r="H13" s="14" t="n">
        <v>153</v>
      </c>
      <c r="I13" s="14" t="n">
        <v>19</v>
      </c>
      <c r="J13" s="15">
        <f>H13+I13</f>
        <v/>
      </c>
      <c r="K13" s="15">
        <f>J13-E13</f>
        <v/>
      </c>
      <c r="L13" s="14" t="n">
        <v>16238</v>
      </c>
      <c r="M13" s="14" t="n">
        <v>1559</v>
      </c>
      <c r="N13" s="14">
        <f>L13+M13</f>
        <v/>
      </c>
      <c r="O13" s="14" t="n">
        <v>16238</v>
      </c>
      <c r="P13" s="16" t="n">
        <v>1558</v>
      </c>
      <c r="Q13" s="14">
        <f>O13+P13</f>
        <v/>
      </c>
      <c r="R13" s="14">
        <f>Q13-N13</f>
        <v/>
      </c>
    </row>
    <row r="14">
      <c r="A14" s="5" t="n">
        <v>202601</v>
      </c>
      <c r="B14" s="6" t="inlineStr">
        <is>
          <t>湖南省</t>
        </is>
      </c>
      <c r="C14" s="14" t="n">
        <v>194</v>
      </c>
      <c r="D14" s="15" t="n">
        <v>39</v>
      </c>
      <c r="E14" s="14">
        <f>C14+D14</f>
        <v/>
      </c>
      <c r="F14" s="14" t="n">
        <v>210</v>
      </c>
      <c r="G14" s="8">
        <f>(E14-F14)/F14</f>
        <v/>
      </c>
      <c r="H14" s="14" t="n">
        <v>193</v>
      </c>
      <c r="I14" s="14" t="n">
        <v>39</v>
      </c>
      <c r="J14" s="15">
        <f>H14+I14</f>
        <v/>
      </c>
      <c r="K14" s="15">
        <f>J14-E14</f>
        <v/>
      </c>
      <c r="L14" s="14" t="n">
        <v>19376</v>
      </c>
      <c r="M14" s="14" t="n">
        <v>1983</v>
      </c>
      <c r="N14" s="14">
        <f>L14+M14</f>
        <v/>
      </c>
      <c r="O14" s="14" t="n">
        <v>19372</v>
      </c>
      <c r="P14" s="16" t="n">
        <v>1983</v>
      </c>
      <c r="Q14" s="14">
        <f>O14+P14</f>
        <v/>
      </c>
      <c r="R14" s="14">
        <f>Q14-N14</f>
        <v/>
      </c>
    </row>
    <row r="15">
      <c r="A15" s="5" t="n">
        <v>202601</v>
      </c>
      <c r="B15" s="6" t="inlineStr">
        <is>
          <t>吉林省</t>
        </is>
      </c>
      <c r="C15" s="14" t="n">
        <v>71</v>
      </c>
      <c r="D15" s="15" t="n">
        <v>16</v>
      </c>
      <c r="E15" s="14">
        <f>C15+D15</f>
        <v/>
      </c>
      <c r="F15" s="14" t="n">
        <v>66</v>
      </c>
      <c r="G15" s="8">
        <f>(E15-F15)/F15</f>
        <v/>
      </c>
      <c r="H15" s="14" t="n">
        <v>71</v>
      </c>
      <c r="I15" s="14" t="n">
        <v>16</v>
      </c>
      <c r="J15" s="15">
        <f>H15+I15</f>
        <v/>
      </c>
      <c r="K15" s="15">
        <f>J15-E15</f>
        <v/>
      </c>
      <c r="L15" s="14" t="n">
        <v>5611</v>
      </c>
      <c r="M15" s="14" t="n">
        <v>573</v>
      </c>
      <c r="N15" s="14">
        <f>L15+M15</f>
        <v/>
      </c>
      <c r="O15" s="14" t="n">
        <v>5611</v>
      </c>
      <c r="P15" s="16" t="n">
        <v>573</v>
      </c>
      <c r="Q15" s="14">
        <f>O15+P15</f>
        <v/>
      </c>
      <c r="R15" s="14">
        <f>Q15-N15</f>
        <v/>
      </c>
    </row>
    <row r="16">
      <c r="A16" s="5" t="n">
        <v>202601</v>
      </c>
      <c r="B16" s="6" t="inlineStr">
        <is>
          <t>江苏省</t>
        </is>
      </c>
      <c r="C16" s="14" t="n">
        <v>259</v>
      </c>
      <c r="D16" s="15" t="n">
        <v>37</v>
      </c>
      <c r="E16" s="14">
        <f>C16+D16</f>
        <v/>
      </c>
      <c r="F16" s="14" t="n">
        <v>254</v>
      </c>
      <c r="G16" s="8">
        <f>(E16-F16)/F16</f>
        <v/>
      </c>
      <c r="H16" s="14" t="n">
        <v>256</v>
      </c>
      <c r="I16" s="14" t="n">
        <v>37</v>
      </c>
      <c r="J16" s="15">
        <f>H16+I16</f>
        <v/>
      </c>
      <c r="K16" s="15">
        <f>J16-E16</f>
        <v/>
      </c>
      <c r="L16" s="14" t="n">
        <v>28023</v>
      </c>
      <c r="M16" s="14" t="n">
        <v>559</v>
      </c>
      <c r="N16" s="14">
        <f>L16+M16</f>
        <v/>
      </c>
      <c r="O16" s="14" t="n">
        <v>28018</v>
      </c>
      <c r="P16" s="16" t="n">
        <v>558</v>
      </c>
      <c r="Q16" s="14">
        <f>O16+P16</f>
        <v/>
      </c>
      <c r="R16" s="14">
        <f>Q16-N16</f>
        <v/>
      </c>
    </row>
    <row r="17">
      <c r="A17" s="5" t="n">
        <v>202601</v>
      </c>
      <c r="B17" s="6" t="inlineStr">
        <is>
          <t>江西省</t>
        </is>
      </c>
      <c r="C17" s="14" t="n">
        <v>87</v>
      </c>
      <c r="D17" s="15" t="n">
        <v>24</v>
      </c>
      <c r="E17" s="14">
        <f>C17+D17</f>
        <v/>
      </c>
      <c r="F17" s="14" t="n">
        <v>100</v>
      </c>
      <c r="G17" s="8">
        <f>(E17-F17)/F17</f>
        <v/>
      </c>
      <c r="H17" s="14" t="n">
        <v>87</v>
      </c>
      <c r="I17" s="14" t="n">
        <v>24</v>
      </c>
      <c r="J17" s="15">
        <f>H17+I17</f>
        <v/>
      </c>
      <c r="K17" s="15">
        <f>J17-E17</f>
        <v/>
      </c>
      <c r="L17" s="14" t="n">
        <v>7907</v>
      </c>
      <c r="M17" s="14" t="n">
        <v>1024</v>
      </c>
      <c r="N17" s="14">
        <f>L17+M17</f>
        <v/>
      </c>
      <c r="O17" s="14" t="n">
        <v>7902</v>
      </c>
      <c r="P17" s="16" t="n">
        <v>1023</v>
      </c>
      <c r="Q17" s="14">
        <f>O17+P17</f>
        <v/>
      </c>
      <c r="R17" s="14">
        <f>Q17-N17</f>
        <v/>
      </c>
    </row>
    <row r="18">
      <c r="A18" s="5" t="n">
        <v>202601</v>
      </c>
      <c r="B18" s="11" t="inlineStr">
        <is>
          <t>辽宁省(不含大连)</t>
        </is>
      </c>
      <c r="C18" s="14" t="n">
        <v>129</v>
      </c>
      <c r="D18" s="14" t="n">
        <v>27</v>
      </c>
      <c r="E18" s="14">
        <f>C18+D18</f>
        <v/>
      </c>
      <c r="F18" s="14" t="n">
        <v>152</v>
      </c>
      <c r="G18" s="8">
        <f>(E18-F18)/F18</f>
        <v/>
      </c>
      <c r="H18" s="14" t="n">
        <v>127</v>
      </c>
      <c r="I18" s="14" t="n">
        <v>27</v>
      </c>
      <c r="J18" s="15">
        <f>H18+I18</f>
        <v/>
      </c>
      <c r="K18" s="15">
        <f>J18-E18</f>
        <v/>
      </c>
      <c r="L18" s="14" t="n">
        <v>9593</v>
      </c>
      <c r="M18" s="14" t="n">
        <v>628</v>
      </c>
      <c r="N18" s="14">
        <f>L18+M18</f>
        <v/>
      </c>
      <c r="O18" s="14" t="n">
        <v>9574</v>
      </c>
      <c r="P18" s="16" t="n">
        <v>628</v>
      </c>
      <c r="Q18" s="14">
        <f>O18+P18</f>
        <v/>
      </c>
      <c r="R18" s="14">
        <f>Q18-N18</f>
        <v/>
      </c>
    </row>
    <row r="19">
      <c r="A19" s="5" t="n">
        <v>202601</v>
      </c>
      <c r="B19" s="6" t="inlineStr">
        <is>
          <t>内蒙古自治区</t>
        </is>
      </c>
      <c r="C19" s="14" t="n">
        <v>154</v>
      </c>
      <c r="D19" s="15" t="n">
        <v>28</v>
      </c>
      <c r="E19" s="14">
        <f>C19+D19</f>
        <v/>
      </c>
      <c r="F19" s="14" t="n">
        <v>167</v>
      </c>
      <c r="G19" s="8">
        <f>(E19-F19)/F19</f>
        <v/>
      </c>
      <c r="H19" s="14" t="n">
        <v>154</v>
      </c>
      <c r="I19" s="14" t="n">
        <v>28</v>
      </c>
      <c r="J19" s="15">
        <f>H19+I19</f>
        <v/>
      </c>
      <c r="K19" s="15">
        <f>J19-E19</f>
        <v/>
      </c>
      <c r="L19" s="14" t="n">
        <v>7040</v>
      </c>
      <c r="M19" s="14" t="n">
        <v>219</v>
      </c>
      <c r="N19" s="14">
        <f>L19+M19</f>
        <v/>
      </c>
      <c r="O19" s="14" t="n">
        <v>7039</v>
      </c>
      <c r="P19" s="16" t="n">
        <v>219</v>
      </c>
      <c r="Q19" s="14">
        <f>O19+P19</f>
        <v/>
      </c>
      <c r="R19" s="14">
        <f>Q19-N19</f>
        <v/>
      </c>
    </row>
    <row r="20">
      <c r="A20" s="5" t="n">
        <v>202601</v>
      </c>
      <c r="B20" s="6" t="inlineStr">
        <is>
          <t>宁夏回族自治区</t>
        </is>
      </c>
      <c r="C20" s="14" t="n">
        <v>75</v>
      </c>
      <c r="D20" s="15" t="n">
        <v>14</v>
      </c>
      <c r="E20" s="14">
        <f>C20+D20</f>
        <v/>
      </c>
      <c r="F20" s="14" t="n">
        <v>75</v>
      </c>
      <c r="G20" s="8">
        <f>(E20-F20)/F20</f>
        <v/>
      </c>
      <c r="H20" s="14" t="n">
        <v>75</v>
      </c>
      <c r="I20" s="14" t="n">
        <v>14</v>
      </c>
      <c r="J20" s="15">
        <f>H20+I20</f>
        <v/>
      </c>
      <c r="K20" s="15">
        <f>J20-E20</f>
        <v/>
      </c>
      <c r="L20" s="14" t="n">
        <v>3102</v>
      </c>
      <c r="M20" s="14" t="n">
        <v>22</v>
      </c>
      <c r="N20" s="14">
        <f>L20+M20</f>
        <v/>
      </c>
      <c r="O20" s="14" t="n">
        <v>3100</v>
      </c>
      <c r="P20" s="16" t="n">
        <v>22</v>
      </c>
      <c r="Q20" s="14">
        <f>O20+P20</f>
        <v/>
      </c>
      <c r="R20" s="14">
        <f>Q20-N20</f>
        <v/>
      </c>
    </row>
    <row r="21">
      <c r="A21" s="5" t="n">
        <v>202601</v>
      </c>
      <c r="B21" s="6" t="inlineStr">
        <is>
          <t>青海省</t>
        </is>
      </c>
      <c r="C21" s="14" t="n">
        <v>31</v>
      </c>
      <c r="D21" s="15" t="n">
        <v>10</v>
      </c>
      <c r="E21" s="14">
        <f>C21+D21</f>
        <v/>
      </c>
      <c r="F21" s="14" t="n">
        <v>40</v>
      </c>
      <c r="G21" s="8">
        <f>(E21-F21)/F21</f>
        <v/>
      </c>
      <c r="H21" s="14" t="n">
        <v>31</v>
      </c>
      <c r="I21" s="14" t="n">
        <v>10</v>
      </c>
      <c r="J21" s="15">
        <f>H21+I21</f>
        <v/>
      </c>
      <c r="K21" s="15">
        <f>J21-E21</f>
        <v/>
      </c>
      <c r="L21" s="14" t="n">
        <v>1133</v>
      </c>
      <c r="M21" s="14" t="n">
        <v>8</v>
      </c>
      <c r="N21" s="14">
        <f>L21+M21</f>
        <v/>
      </c>
      <c r="O21" s="14" t="n">
        <v>1133</v>
      </c>
      <c r="P21" s="16" t="n">
        <v>8</v>
      </c>
      <c r="Q21" s="14">
        <f>O21+P21</f>
        <v/>
      </c>
      <c r="R21" s="14">
        <f>Q21-N21</f>
        <v/>
      </c>
    </row>
    <row r="22">
      <c r="A22" s="5" t="n">
        <v>202601</v>
      </c>
      <c r="B22" s="11" t="inlineStr">
        <is>
          <t>山东省(不含青岛)</t>
        </is>
      </c>
      <c r="C22" s="14" t="n">
        <v>404</v>
      </c>
      <c r="D22" s="14" t="n">
        <v>76</v>
      </c>
      <c r="E22" s="14">
        <f>C22+D22</f>
        <v/>
      </c>
      <c r="F22" s="14" t="n">
        <v>428</v>
      </c>
      <c r="G22" s="8">
        <f>(E22-F22)/F22</f>
        <v/>
      </c>
      <c r="H22" s="14" t="n">
        <v>402</v>
      </c>
      <c r="I22" s="14" t="n">
        <v>76</v>
      </c>
      <c r="J22" s="15">
        <f>H22+I22</f>
        <v/>
      </c>
      <c r="K22" s="15">
        <f>J22-E22</f>
        <v/>
      </c>
      <c r="L22" s="14" t="n">
        <v>24990</v>
      </c>
      <c r="M22" s="14" t="n">
        <v>751</v>
      </c>
      <c r="N22" s="14">
        <f>L22+M22</f>
        <v/>
      </c>
      <c r="O22" s="14" t="n">
        <v>24990</v>
      </c>
      <c r="P22" s="16" t="n">
        <v>751</v>
      </c>
      <c r="Q22" s="14">
        <f>O22+P22</f>
        <v/>
      </c>
      <c r="R22" s="14">
        <f>Q22-N22</f>
        <v/>
      </c>
    </row>
    <row r="23">
      <c r="A23" s="5" t="n">
        <v>202601</v>
      </c>
      <c r="B23" s="6" t="inlineStr">
        <is>
          <t>山西省</t>
        </is>
      </c>
      <c r="C23" s="14" t="n">
        <v>123</v>
      </c>
      <c r="D23" s="15" t="n">
        <v>41</v>
      </c>
      <c r="E23" s="14">
        <f>C23+D23</f>
        <v/>
      </c>
      <c r="F23" s="14" t="n">
        <v>140</v>
      </c>
      <c r="G23" s="8">
        <f>(E23-F23)/F23</f>
        <v/>
      </c>
      <c r="H23" s="14" t="n">
        <v>122</v>
      </c>
      <c r="I23" s="14" t="n">
        <v>41</v>
      </c>
      <c r="J23" s="15">
        <f>H23+I23</f>
        <v/>
      </c>
      <c r="K23" s="15">
        <f>J23-E23</f>
        <v/>
      </c>
      <c r="L23" s="14" t="n">
        <v>6804</v>
      </c>
      <c r="M23" s="14" t="n">
        <v>432</v>
      </c>
      <c r="N23" s="14">
        <f>L23+M23</f>
        <v/>
      </c>
      <c r="O23" s="14" t="n">
        <v>6804</v>
      </c>
      <c r="P23" s="16" t="n">
        <v>432</v>
      </c>
      <c r="Q23" s="14">
        <f>O23+P23</f>
        <v/>
      </c>
      <c r="R23" s="14">
        <f>Q23-N23</f>
        <v/>
      </c>
    </row>
    <row r="24">
      <c r="A24" s="5" t="n">
        <v>202601</v>
      </c>
      <c r="B24" s="6" t="inlineStr">
        <is>
          <t>陕西省</t>
        </is>
      </c>
      <c r="C24" s="14" t="n">
        <v>169</v>
      </c>
      <c r="D24" s="15" t="n">
        <v>26</v>
      </c>
      <c r="E24" s="14">
        <f>C24+D24</f>
        <v/>
      </c>
      <c r="F24" s="14" t="n">
        <v>168</v>
      </c>
      <c r="G24" s="8">
        <f>(E24-F24)/F24</f>
        <v/>
      </c>
      <c r="H24" s="14" t="n">
        <v>166</v>
      </c>
      <c r="I24" s="14" t="n">
        <v>26</v>
      </c>
      <c r="J24" s="15">
        <f>H24+I24</f>
        <v/>
      </c>
      <c r="K24" s="15">
        <f>J24-E24</f>
        <v/>
      </c>
      <c r="L24" s="14" t="n">
        <v>12313</v>
      </c>
      <c r="M24" s="14" t="n">
        <v>432</v>
      </c>
      <c r="N24" s="14">
        <f>L24+M24</f>
        <v/>
      </c>
      <c r="O24" s="14" t="n">
        <v>12312</v>
      </c>
      <c r="P24" s="16" t="n">
        <v>432</v>
      </c>
      <c r="Q24" s="14">
        <f>O24+P24</f>
        <v/>
      </c>
      <c r="R24" s="14">
        <f>Q24-N24</f>
        <v/>
      </c>
    </row>
    <row r="25">
      <c r="A25" s="5" t="n">
        <v>202601</v>
      </c>
      <c r="B25" s="6" t="inlineStr">
        <is>
          <t>上海市</t>
        </is>
      </c>
      <c r="C25" s="14" t="n">
        <v>109</v>
      </c>
      <c r="D25" s="15" t="n">
        <v>10</v>
      </c>
      <c r="E25" s="14">
        <f>C25+D25</f>
        <v/>
      </c>
      <c r="F25" s="14" t="n">
        <v>113</v>
      </c>
      <c r="G25" s="8">
        <f>(E25-F25)/F25</f>
        <v/>
      </c>
      <c r="H25" s="14" t="n">
        <v>109</v>
      </c>
      <c r="I25" s="14" t="n">
        <v>10</v>
      </c>
      <c r="J25" s="15">
        <f>H25+I25</f>
        <v/>
      </c>
      <c r="K25" s="15">
        <f>J25-E25</f>
        <v/>
      </c>
      <c r="L25" s="14" t="n">
        <v>20013</v>
      </c>
      <c r="M25" s="14" t="n">
        <v>831</v>
      </c>
      <c r="N25" s="14">
        <f>L25+M25</f>
        <v/>
      </c>
      <c r="O25" s="14" t="n">
        <v>20013</v>
      </c>
      <c r="P25" s="16" t="n">
        <v>831</v>
      </c>
      <c r="Q25" s="14">
        <f>O25+P25</f>
        <v/>
      </c>
      <c r="R25" s="14">
        <f>Q25-N25</f>
        <v/>
      </c>
    </row>
    <row r="26">
      <c r="A26" s="5" t="n">
        <v>202601</v>
      </c>
      <c r="B26" s="6" t="inlineStr">
        <is>
          <t>四川省</t>
        </is>
      </c>
      <c r="C26" s="14" t="n">
        <v>285</v>
      </c>
      <c r="D26" s="15" t="n">
        <v>37</v>
      </c>
      <c r="E26" s="14">
        <f>C26+D26</f>
        <v/>
      </c>
      <c r="F26" s="14" t="n">
        <v>301</v>
      </c>
      <c r="G26" s="8">
        <f>(E26-F26)/F26</f>
        <v/>
      </c>
      <c r="H26" s="14" t="n">
        <v>285</v>
      </c>
      <c r="I26" s="14" t="n">
        <v>37</v>
      </c>
      <c r="J26" s="15">
        <f>H26+I26</f>
        <v/>
      </c>
      <c r="K26" s="15">
        <f>J26-E26</f>
        <v/>
      </c>
      <c r="L26" s="14" t="n">
        <v>21442</v>
      </c>
      <c r="M26" s="14" t="n">
        <v>2234</v>
      </c>
      <c r="N26" s="14">
        <f>L26+M26</f>
        <v/>
      </c>
      <c r="O26" s="14" t="n">
        <v>21440</v>
      </c>
      <c r="P26" s="16" t="n">
        <v>2232</v>
      </c>
      <c r="Q26" s="14">
        <f>O26+P26</f>
        <v/>
      </c>
      <c r="R26" s="14">
        <f>Q26-N26</f>
        <v/>
      </c>
    </row>
    <row r="27">
      <c r="A27" s="5" t="n">
        <v>202601</v>
      </c>
      <c r="B27" s="6" t="inlineStr">
        <is>
          <t>天津市</t>
        </is>
      </c>
      <c r="C27" s="14" t="n">
        <v>55</v>
      </c>
      <c r="D27" s="15" t="n">
        <v>9</v>
      </c>
      <c r="E27" s="14">
        <f>C27+D27</f>
        <v/>
      </c>
      <c r="F27" s="14" t="n">
        <v>55</v>
      </c>
      <c r="G27" s="8">
        <f>(E27-F27)/F27</f>
        <v/>
      </c>
      <c r="H27" s="14" t="n">
        <v>55</v>
      </c>
      <c r="I27" s="14" t="n">
        <v>9</v>
      </c>
      <c r="J27" s="15">
        <f>H27+I27</f>
        <v/>
      </c>
      <c r="K27" s="15">
        <f>J27-E27</f>
        <v/>
      </c>
      <c r="L27" s="14" t="n">
        <v>4711</v>
      </c>
      <c r="M27" s="14" t="n">
        <v>46</v>
      </c>
      <c r="N27" s="14">
        <f>L27+M27</f>
        <v/>
      </c>
      <c r="O27" s="14" t="n">
        <v>4708</v>
      </c>
      <c r="P27" s="16" t="n">
        <v>46</v>
      </c>
      <c r="Q27" s="14">
        <f>O27+P27</f>
        <v/>
      </c>
      <c r="R27" s="14">
        <f>Q27-N27</f>
        <v/>
      </c>
    </row>
    <row r="28">
      <c r="A28" s="5" t="n">
        <v>202601</v>
      </c>
      <c r="B28" s="6" t="inlineStr">
        <is>
          <t>西藏自治区</t>
        </is>
      </c>
      <c r="C28" s="14" t="n">
        <v>25</v>
      </c>
      <c r="D28" s="15" t="n">
        <v>5</v>
      </c>
      <c r="E28" s="14">
        <f>C28+D28</f>
        <v/>
      </c>
      <c r="F28" s="14" t="n">
        <v>25</v>
      </c>
      <c r="G28" s="8">
        <f>(E28-F28)/F28</f>
        <v/>
      </c>
      <c r="H28" s="14" t="n">
        <v>25</v>
      </c>
      <c r="I28" s="14" t="n">
        <v>5</v>
      </c>
      <c r="J28" s="15">
        <f>H28+I28</f>
        <v/>
      </c>
      <c r="K28" s="15">
        <f>J28-E28</f>
        <v/>
      </c>
      <c r="L28" s="14" t="n">
        <v>795</v>
      </c>
      <c r="M28" s="14" t="n">
        <v>15</v>
      </c>
      <c r="N28" s="14">
        <f>L28+M28</f>
        <v/>
      </c>
      <c r="O28" s="14" t="n">
        <v>795</v>
      </c>
      <c r="P28" s="16" t="n">
        <v>15</v>
      </c>
      <c r="Q28" s="14">
        <f>O28+P28</f>
        <v/>
      </c>
      <c r="R28" s="14">
        <f>Q28-N28</f>
        <v/>
      </c>
    </row>
    <row r="29">
      <c r="A29" s="5" t="n">
        <v>202601</v>
      </c>
      <c r="B29" s="6" t="inlineStr">
        <is>
          <t>新疆维吾尔自治区</t>
        </is>
      </c>
      <c r="C29" s="14" t="n">
        <v>185</v>
      </c>
      <c r="D29" s="15" t="n">
        <v>24</v>
      </c>
      <c r="E29" s="14">
        <f>C29+D29</f>
        <v/>
      </c>
      <c r="F29" s="14" t="n">
        <v>180</v>
      </c>
      <c r="G29" s="8">
        <f>(E29-F29)/F29</f>
        <v/>
      </c>
      <c r="H29" s="14" t="n">
        <v>185</v>
      </c>
      <c r="I29" s="14" t="n">
        <v>24</v>
      </c>
      <c r="J29" s="15">
        <f>H29+I29</f>
        <v/>
      </c>
      <c r="K29" s="15">
        <f>J29-E29</f>
        <v/>
      </c>
      <c r="L29" s="14" t="n">
        <v>7272</v>
      </c>
      <c r="M29" s="14" t="n">
        <v>323</v>
      </c>
      <c r="N29" s="14">
        <f>L29+M29</f>
        <v/>
      </c>
      <c r="O29" s="14" t="n">
        <v>7270</v>
      </c>
      <c r="P29" s="16" t="n">
        <v>323</v>
      </c>
      <c r="Q29" s="14">
        <f>O29+P29</f>
        <v/>
      </c>
      <c r="R29" s="14">
        <f>Q29-N29</f>
        <v/>
      </c>
    </row>
    <row r="30">
      <c r="A30" s="5" t="n">
        <v>202601</v>
      </c>
      <c r="B30" s="6" t="inlineStr">
        <is>
          <t>云南省</t>
        </is>
      </c>
      <c r="C30" s="14" t="n">
        <v>236</v>
      </c>
      <c r="D30" s="15" t="n">
        <v>36</v>
      </c>
      <c r="E30" s="14">
        <f>C30+D30</f>
        <v/>
      </c>
      <c r="F30" s="14" t="n">
        <v>242</v>
      </c>
      <c r="G30" s="8">
        <f>(E30-F30)/F30</f>
        <v/>
      </c>
      <c r="H30" s="14" t="n">
        <v>236</v>
      </c>
      <c r="I30" s="14" t="n">
        <v>36</v>
      </c>
      <c r="J30" s="15">
        <f>H30+I30</f>
        <v/>
      </c>
      <c r="K30" s="15">
        <f>J30-E30</f>
        <v/>
      </c>
      <c r="L30" s="14" t="n">
        <v>14562</v>
      </c>
      <c r="M30" s="14" t="n">
        <v>512</v>
      </c>
      <c r="N30" s="14">
        <f>L30+M30</f>
        <v/>
      </c>
      <c r="O30" s="14" t="n">
        <v>14561</v>
      </c>
      <c r="P30" s="16" t="n">
        <v>512</v>
      </c>
      <c r="Q30" s="14">
        <f>O30+P30</f>
        <v/>
      </c>
      <c r="R30" s="14">
        <f>Q30-N30</f>
        <v/>
      </c>
    </row>
    <row r="31">
      <c r="A31" s="5" t="n">
        <v>202601</v>
      </c>
      <c r="B31" s="11" t="inlineStr">
        <is>
          <t>浙江省(不含宁波)</t>
        </is>
      </c>
      <c r="C31" s="14" t="n">
        <v>151</v>
      </c>
      <c r="D31" s="14" t="n">
        <v>15</v>
      </c>
      <c r="E31" s="14">
        <f>C31+D31</f>
        <v/>
      </c>
      <c r="F31" s="14" t="n">
        <v>138</v>
      </c>
      <c r="G31" s="8">
        <f>(E31-F31)/F31</f>
        <v/>
      </c>
      <c r="H31" s="14" t="n">
        <v>151</v>
      </c>
      <c r="I31" s="14" t="n">
        <v>15</v>
      </c>
      <c r="J31" s="15">
        <f>H31+I31</f>
        <v/>
      </c>
      <c r="K31" s="15">
        <f>J31-E31</f>
        <v/>
      </c>
      <c r="L31" s="14" t="n">
        <v>17816</v>
      </c>
      <c r="M31" s="14" t="n">
        <v>2834</v>
      </c>
      <c r="N31" s="14">
        <f>L31+M31</f>
        <v/>
      </c>
      <c r="O31" s="14" t="n">
        <v>17815</v>
      </c>
      <c r="P31" s="16" t="n">
        <v>2834</v>
      </c>
      <c r="Q31" s="14">
        <f>O31+P31</f>
        <v/>
      </c>
      <c r="R31" s="14">
        <f>Q31-N31</f>
        <v/>
      </c>
    </row>
    <row r="32">
      <c r="A32" s="5" t="n">
        <v>202601</v>
      </c>
      <c r="B32" s="6" t="inlineStr">
        <is>
          <t>重庆市</t>
        </is>
      </c>
      <c r="C32" s="14" t="n">
        <v>131</v>
      </c>
      <c r="D32" s="15" t="n">
        <v>6</v>
      </c>
      <c r="E32" s="14">
        <f>C32+D32</f>
        <v/>
      </c>
      <c r="F32" s="14" t="n">
        <v>132</v>
      </c>
      <c r="G32" s="8">
        <f>(E32-F32)/F32</f>
        <v/>
      </c>
      <c r="H32" s="14" t="n">
        <v>130</v>
      </c>
      <c r="I32" s="14" t="n">
        <v>6</v>
      </c>
      <c r="J32" s="15">
        <f>H32+I32</f>
        <v/>
      </c>
      <c r="K32" s="15">
        <f>J32-E32</f>
        <v/>
      </c>
      <c r="L32" s="14" t="n">
        <v>9244</v>
      </c>
      <c r="M32" s="14" t="n">
        <v>1006</v>
      </c>
      <c r="N32" s="14">
        <f>L32+M32</f>
        <v/>
      </c>
      <c r="O32" s="14" t="n">
        <v>9243</v>
      </c>
      <c r="P32" s="16" t="n">
        <v>1004</v>
      </c>
      <c r="Q32" s="14">
        <f>O32+P32</f>
        <v/>
      </c>
      <c r="R32" s="14">
        <f>Q32-N32</f>
        <v/>
      </c>
    </row>
    <row r="33">
      <c r="A33" s="5" t="n">
        <v>202601</v>
      </c>
      <c r="B33" s="11" t="inlineStr">
        <is>
          <t>深圳（含其他）</t>
        </is>
      </c>
      <c r="C33" s="12" t="n">
        <v>253</v>
      </c>
      <c r="D33" s="12" t="n">
        <v>18</v>
      </c>
      <c r="E33" s="14">
        <f>C33+D33</f>
        <v/>
      </c>
      <c r="F33" s="14" t="n">
        <v>243</v>
      </c>
      <c r="G33" s="8">
        <f>(E33-F33)/F33</f>
        <v/>
      </c>
      <c r="H33" s="14" t="n">
        <v>250</v>
      </c>
      <c r="I33" s="14" t="n">
        <v>18</v>
      </c>
      <c r="J33" s="15">
        <f>H33+I33</f>
        <v/>
      </c>
      <c r="K33" s="15">
        <f>J33-E33</f>
        <v/>
      </c>
      <c r="L33" s="14" t="n">
        <v>23708</v>
      </c>
      <c r="M33" s="14" t="n">
        <v>786</v>
      </c>
      <c r="N33" s="14">
        <f>L33+M33</f>
        <v/>
      </c>
      <c r="O33" s="14" t="n">
        <v>23708</v>
      </c>
      <c r="P33" s="16" t="n">
        <v>786</v>
      </c>
      <c r="Q33" s="14">
        <f>O33+P33</f>
        <v/>
      </c>
      <c r="R33" s="14">
        <f>Q33-N33</f>
        <v/>
      </c>
    </row>
    <row r="34">
      <c r="A34" s="5" t="n">
        <v>202601</v>
      </c>
      <c r="B34" s="6" t="inlineStr">
        <is>
          <t>厦门市</t>
        </is>
      </c>
      <c r="C34" s="12" t="n">
        <v>27</v>
      </c>
      <c r="D34" s="12" t="n">
        <v>4</v>
      </c>
      <c r="E34" s="14">
        <f>C34+D34</f>
        <v/>
      </c>
      <c r="F34" s="14" t="n">
        <v>28</v>
      </c>
      <c r="G34" s="8">
        <f>(E34-F34)/F34</f>
        <v/>
      </c>
      <c r="H34" s="14" t="n">
        <v>27</v>
      </c>
      <c r="I34" s="14" t="n">
        <v>4</v>
      </c>
      <c r="J34" s="15">
        <f>H34+I34</f>
        <v/>
      </c>
      <c r="K34" s="15">
        <f>J34-E34</f>
        <v/>
      </c>
      <c r="L34" s="14" t="n">
        <v>4039</v>
      </c>
      <c r="M34" s="14" t="n">
        <v>1611</v>
      </c>
      <c r="N34" s="14">
        <f>L34+M34</f>
        <v/>
      </c>
      <c r="O34" s="14" t="n">
        <v>4039</v>
      </c>
      <c r="P34" s="16" t="n">
        <v>1611</v>
      </c>
      <c r="Q34" s="14">
        <f>O34+P34</f>
        <v/>
      </c>
      <c r="R34" s="14">
        <f>Q34-N34</f>
        <v/>
      </c>
    </row>
    <row r="35">
      <c r="A35" s="5" t="n">
        <v>202601</v>
      </c>
      <c r="B35" s="6" t="inlineStr">
        <is>
          <t>宁波市</t>
        </is>
      </c>
      <c r="C35" s="12" t="n">
        <v>55</v>
      </c>
      <c r="D35" s="12" t="n">
        <v>1</v>
      </c>
      <c r="E35" s="14">
        <f>C35+D35</f>
        <v/>
      </c>
      <c r="F35" s="14" t="n">
        <v>42</v>
      </c>
      <c r="G35" s="8">
        <f>(E35-F35)/F35</f>
        <v/>
      </c>
      <c r="H35" s="14" t="n">
        <v>54</v>
      </c>
      <c r="I35" s="14" t="n">
        <v>1</v>
      </c>
      <c r="J35" s="15">
        <f>H35+I35</f>
        <v/>
      </c>
      <c r="K35" s="15">
        <f>J35-E35</f>
        <v/>
      </c>
      <c r="L35" s="14" t="n">
        <v>2623</v>
      </c>
      <c r="M35" s="14" t="n">
        <v>14</v>
      </c>
      <c r="N35" s="14">
        <f>L35+M35</f>
        <v/>
      </c>
      <c r="O35" s="14" t="n">
        <v>2623</v>
      </c>
      <c r="P35" s="16" t="n">
        <v>14</v>
      </c>
      <c r="Q35" s="14">
        <f>O35+P35</f>
        <v/>
      </c>
      <c r="R35" s="14">
        <f>Q35-N35</f>
        <v/>
      </c>
    </row>
    <row r="36">
      <c r="A36" s="5" t="n">
        <v>202601</v>
      </c>
      <c r="B36" s="6" t="inlineStr">
        <is>
          <t>大连市</t>
        </is>
      </c>
      <c r="C36" s="12" t="n">
        <v>71</v>
      </c>
      <c r="D36" s="12" t="n">
        <v>4</v>
      </c>
      <c r="E36" s="14">
        <f>C36+D36</f>
        <v/>
      </c>
      <c r="F36" s="14" t="n">
        <v>68</v>
      </c>
      <c r="G36" s="8">
        <f>(E36-F36)/F36</f>
        <v/>
      </c>
      <c r="H36" s="14" t="n">
        <v>69</v>
      </c>
      <c r="I36" s="14" t="n">
        <v>4</v>
      </c>
      <c r="J36" s="15">
        <f>H36+I36</f>
        <v/>
      </c>
      <c r="K36" s="15">
        <f>J36-E36</f>
        <v/>
      </c>
      <c r="L36" s="14" t="n">
        <v>2780</v>
      </c>
      <c r="M36" s="14" t="n">
        <v>16</v>
      </c>
      <c r="N36" s="14">
        <f>L36+M36</f>
        <v/>
      </c>
      <c r="O36" s="14" t="n">
        <v>2780</v>
      </c>
      <c r="P36" s="16" t="n">
        <v>16</v>
      </c>
      <c r="Q36" s="14">
        <f>O36+P36</f>
        <v/>
      </c>
      <c r="R36" s="14">
        <f>Q36-N36</f>
        <v/>
      </c>
    </row>
    <row r="37">
      <c r="A37" s="5" t="n">
        <v>202601</v>
      </c>
      <c r="B37" s="6" t="inlineStr">
        <is>
          <t>青岛市</t>
        </is>
      </c>
      <c r="C37" s="12" t="n">
        <v>47</v>
      </c>
      <c r="D37" s="12" t="n">
        <v>5</v>
      </c>
      <c r="E37" s="14">
        <f>C37+D37</f>
        <v/>
      </c>
      <c r="F37" s="14" t="n">
        <v>48</v>
      </c>
      <c r="G37" s="8">
        <f>(E37-F37)/F37</f>
        <v/>
      </c>
      <c r="H37" s="14" t="n">
        <v>46</v>
      </c>
      <c r="I37" s="14" t="n">
        <v>5</v>
      </c>
      <c r="J37" s="15">
        <f>H37+I37</f>
        <v/>
      </c>
      <c r="K37" s="15">
        <f>J37-E37</f>
        <v/>
      </c>
      <c r="L37" s="14" t="n">
        <v>5332</v>
      </c>
      <c r="M37" s="14" t="n">
        <v>265</v>
      </c>
      <c r="N37" s="14">
        <f>L37+M37</f>
        <v/>
      </c>
      <c r="O37" s="14" t="n">
        <v>5332</v>
      </c>
      <c r="P37" s="16" t="n">
        <v>265</v>
      </c>
      <c r="Q37" s="14">
        <f>O37+P37</f>
        <v/>
      </c>
      <c r="R37" s="14">
        <f>Q37-N37</f>
        <v/>
      </c>
    </row>
  </sheetData>
  <conditionalFormatting sqref="G2:G37">
    <cfRule type="dataBar" priority="3">
      <dataBar>
        <cfvo type="min"/>
        <cfvo type="max"/>
        <color rgb="FF63C384"/>
      </dataBar>
    </cfRule>
  </conditionalFormatting>
  <conditionalFormatting sqref="K2:K37">
    <cfRule type="dataBar" priority="2">
      <dataBar>
        <cfvo type="min"/>
        <cfvo type="max"/>
        <color rgb="FF638EC6"/>
      </dataBar>
    </cfRule>
  </conditionalFormatting>
  <conditionalFormatting sqref="R2:R37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2026-02-25T07:49:38Z</dcterms:created>
  <dcterms:modified xmlns:dcterms="http://purl.org/dc/terms/" xmlns:xsi="http://www.w3.org/2001/XMLSchema-instance" xsi:type="dcterms:W3CDTF">2026-02-25T08:00:51Z</dcterms:modified>
  <cp:lastModifiedBy>T156378</cp:lastModifiedBy>
</cp:coreProperties>
</file>