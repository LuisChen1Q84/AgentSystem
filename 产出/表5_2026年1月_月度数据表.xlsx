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40" yWindow="2300" windowWidth="27700" windowHeight="16860" tabRatio="600" firstSheet="0" autoFilterDateGrouping="1"/>
  </bookViews>
  <sheets>
    <sheet xmlns:r="http://schemas.openxmlformats.org/officeDocument/2006/relationships" name="2026年1月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000000000_ "/>
    <numFmt numFmtId="166" formatCode="0.00000_ "/>
  </numFmts>
  <fonts count="19">
    <font>
      <name val="等线"/>
      <charset val="134"/>
      <family val="2"/>
      <color theme="1"/>
      <sz val="12"/>
      <scheme val="minor"/>
    </font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仿宋_GB2312"/>
      <charset val="134"/>
      <family val="3"/>
      <sz val="11"/>
    </font>
    <font>
      <name val="仿宋_GB2312"/>
      <charset val="134"/>
      <family val="3"/>
      <b val="1"/>
      <sz val="11"/>
    </font>
    <font>
      <name val="Microsoft YaHei UI"/>
      <charset val="134"/>
      <family val="2"/>
      <sz val="11"/>
    </font>
    <font>
      <name val="Microsoft YaHei UI"/>
      <charset val="134"/>
      <family val="2"/>
      <b val="1"/>
      <color rgb="FFFF0000"/>
      <sz val="11"/>
    </font>
    <font>
      <name val="仿宋_GB2312"/>
      <charset val="134"/>
      <sz val="11"/>
    </font>
    <font>
      <name val="仿宋_GB2312"/>
      <charset val="134"/>
      <family val="3"/>
      <b val="1"/>
      <color rgb="FFFF0000"/>
      <sz val="11"/>
    </font>
    <font>
      <name val="Microsoft YaHei UI"/>
      <charset val="134"/>
      <family val="3"/>
      <b val="1"/>
      <color rgb="FFFF0000"/>
      <sz val="11"/>
    </font>
    <font>
      <name val="仿宋_GB2312"/>
      <charset val="134"/>
      <color rgb="FFFF0000"/>
      <sz val="11"/>
    </font>
    <font>
      <name val="宋体"/>
      <charset val="134"/>
      <family val="3"/>
      <sz val="11"/>
    </font>
    <font>
      <name val="宋体"/>
      <charset val="134"/>
      <family val="3"/>
      <b val="1"/>
      <color rgb="FFFF0000"/>
      <sz val="11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Microsoft YaHei UI"/>
      <charset val="134"/>
      <family val="2"/>
      <color rgb="FF000000"/>
      <sz val="10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10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4" fillId="0" borderId="15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4" fillId="3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5" fillId="5" borderId="16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14" fillId="3" borderId="5" applyAlignment="1" pivotButton="0" quotePrefix="0" xfId="0">
      <alignment horizontal="center" vertical="center" wrapText="1"/>
    </xf>
    <xf numFmtId="0" fontId="15" fillId="5" borderId="6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40" fontId="17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0" fontId="0" fillId="0" borderId="0" applyAlignment="1" pivotButton="0" quotePrefix="0" xfId="1">
      <alignment vertical="center"/>
    </xf>
    <xf numFmtId="2" fontId="0" fillId="0" borderId="0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7" fillId="2" borderId="0" applyAlignment="1" pivotButton="0" quotePrefix="0" xfId="0">
      <alignment vertical="center"/>
    </xf>
    <xf numFmtId="0" fontId="17" fillId="3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17" fillId="5" borderId="18" applyAlignment="1" pivotButton="0" quotePrefix="0" xfId="0">
      <alignment vertical="center"/>
    </xf>
    <xf numFmtId="0" fontId="14" fillId="0" borderId="17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3" fillId="0" borderId="17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40" fontId="0" fillId="0" borderId="0" applyAlignment="1" pivotButton="0" quotePrefix="0" xfId="0">
      <alignment vertical="center"/>
    </xf>
    <xf numFmtId="0" fontId="16" fillId="0" borderId="17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164" fontId="13" fillId="6" borderId="0" applyAlignment="1" pivotButton="0" quotePrefix="0" xfId="0">
      <alignment vertical="center"/>
    </xf>
    <xf numFmtId="40" fontId="17" fillId="7" borderId="0" applyAlignment="1" pivotButton="0" quotePrefix="0" xfId="0">
      <alignment vertical="center"/>
    </xf>
    <xf numFmtId="164" fontId="0" fillId="6" borderId="0" applyAlignment="1" pivotButton="0" quotePrefix="0" xfId="0">
      <alignment vertical="center"/>
    </xf>
    <xf numFmtId="10" fontId="0" fillId="6" borderId="0" applyAlignment="1" pivotButton="0" quotePrefix="0" xfId="1">
      <alignment vertical="center"/>
    </xf>
    <xf numFmtId="165" fontId="0" fillId="6" borderId="0" applyAlignment="1" pivotButton="0" quotePrefix="0" xfId="0">
      <alignment vertical="center"/>
    </xf>
    <xf numFmtId="2" fontId="0" fillId="6" borderId="0" applyAlignment="1" pivotButton="0" quotePrefix="0" xfId="0">
      <alignment vertical="center"/>
    </xf>
    <xf numFmtId="0" fontId="0" fillId="6" borderId="17" applyAlignment="1" pivotButton="0" quotePrefix="0" xfId="0">
      <alignment vertical="center"/>
    </xf>
    <xf numFmtId="0" fontId="17" fillId="7" borderId="0" applyAlignment="1" pivotButton="0" quotePrefix="0" xfId="0">
      <alignment vertical="center"/>
    </xf>
    <xf numFmtId="0" fontId="0" fillId="7" borderId="17" applyAlignment="1" pivotButton="0" quotePrefix="0" xfId="0">
      <alignment vertical="center"/>
    </xf>
    <xf numFmtId="0" fontId="15" fillId="7" borderId="0" applyAlignment="1" pivotButton="0" quotePrefix="0" xfId="0">
      <alignment vertical="center"/>
    </xf>
    <xf numFmtId="0" fontId="17" fillId="7" borderId="18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17" fillId="6" borderId="0" applyAlignment="1" pivotButton="0" quotePrefix="0" xfId="0">
      <alignment vertical="center"/>
    </xf>
    <xf numFmtId="0" fontId="13" fillId="6" borderId="17" applyAlignment="1" pivotButton="0" quotePrefix="0" xfId="0">
      <alignment vertical="center"/>
    </xf>
    <xf numFmtId="2" fontId="0" fillId="8" borderId="0" applyAlignment="1" pivotButton="0" quotePrefix="0" xfId="0">
      <alignment vertical="center"/>
    </xf>
    <xf numFmtId="164" fontId="13" fillId="8" borderId="0" applyAlignment="1" pivotButton="0" quotePrefix="0" xfId="0">
      <alignment vertical="center"/>
    </xf>
    <xf numFmtId="40" fontId="17" fillId="8" borderId="0" applyAlignment="1" pivotButton="0" quotePrefix="0" xfId="0">
      <alignment vertical="center"/>
    </xf>
    <xf numFmtId="164" fontId="0" fillId="8" borderId="0" applyAlignment="1" pivotButton="0" quotePrefix="0" xfId="0">
      <alignment vertical="center"/>
    </xf>
    <xf numFmtId="10" fontId="0" fillId="8" borderId="0" applyAlignment="1" pivotButton="0" quotePrefix="0" xfId="1">
      <alignment vertical="center"/>
    </xf>
    <xf numFmtId="0" fontId="0" fillId="8" borderId="0" applyAlignment="1" pivotButton="0" quotePrefix="0" xfId="0">
      <alignment vertical="center"/>
    </xf>
    <xf numFmtId="0" fontId="13" fillId="8" borderId="17" applyAlignment="1" pivotButton="0" quotePrefix="0" xfId="0">
      <alignment vertical="center"/>
    </xf>
    <xf numFmtId="0" fontId="17" fillId="8" borderId="0" applyAlignment="1" pivotButton="0" quotePrefix="0" xfId="0">
      <alignment vertical="center"/>
    </xf>
    <xf numFmtId="0" fontId="17" fillId="8" borderId="18" applyAlignment="1" pivotButton="0" quotePrefix="0" xfId="0">
      <alignment vertical="center"/>
    </xf>
    <xf numFmtId="0" fontId="13" fillId="8" borderId="19" applyAlignment="1" pivotButton="0" quotePrefix="0" xfId="0">
      <alignment vertical="center"/>
    </xf>
    <xf numFmtId="0" fontId="17" fillId="8" borderId="20" applyAlignment="1" pivotButton="0" quotePrefix="0" xfId="0">
      <alignment vertical="center"/>
    </xf>
    <xf numFmtId="0" fontId="17" fillId="8" borderId="21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0" fontId="17" fillId="3" borderId="1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/>
    </xf>
    <xf numFmtId="0" fontId="0" fillId="0" borderId="0" pivotButton="0" quotePrefix="0" xfId="0"/>
    <xf numFmtId="164" fontId="13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13" fillId="6" borderId="0" applyAlignment="1" pivotButton="0" quotePrefix="0" xfId="0">
      <alignment vertical="center"/>
    </xf>
    <xf numFmtId="164" fontId="0" fillId="6" borderId="0" applyAlignment="1" pivotButton="0" quotePrefix="0" xfId="0">
      <alignment vertical="center"/>
    </xf>
    <xf numFmtId="165" fontId="0" fillId="6" borderId="0" applyAlignment="1" pivotButton="0" quotePrefix="0" xfId="0">
      <alignment vertical="center"/>
    </xf>
    <xf numFmtId="164" fontId="13" fillId="8" borderId="0" applyAlignment="1" pivotButton="0" quotePrefix="0" xfId="0">
      <alignment vertical="center"/>
    </xf>
    <xf numFmtId="164" fontId="0" fillId="8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tc={8F74668A-066D-214D-9694-5A01C25EA4D7}</author>
    <author>tc={5B317E9C-5275-BB48-8F39-D6DB43CBE576}</author>
    <author>tc={E0780916-1CA5-7D4C-9A72-9EB002965B3D}</author>
    <author>tc={00285BA8-6C68-CD48-B7D8-BB3B85E5CE1F}</author>
    <author>tc={29CC96A9-8533-9141-8B68-C781D11EB2E1}</author>
    <author>tc={2D408C55-8902-7442-BA0E-8DA2E7061E3D}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L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M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N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AC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7"/>
  <sheetViews>
    <sheetView workbookViewId="0">
      <selection activeCell="A1" sqref="A1"/>
    </sheetView>
  </sheetViews>
  <sheetFormatPr baseColWidth="10" defaultColWidth="8.83203125" defaultRowHeight="16"/>
  <cols>
    <col width="20.83203125" customWidth="1" style="93" min="1" max="1"/>
    <col width="25.1640625" customWidth="1" style="93" min="2" max="2"/>
    <col width="21.6640625" customWidth="1" style="93" min="3" max="3"/>
    <col width="23.6640625" customWidth="1" style="93" min="4" max="4"/>
    <col width="15" customWidth="1" style="93" min="5" max="5"/>
    <col width="12.83203125" customWidth="1" style="93" min="6" max="6"/>
    <col width="14" customWidth="1" style="93" min="7" max="7"/>
    <col width="14.6640625" customWidth="1" style="93" min="8" max="8"/>
    <col width="12.33203125" customWidth="1" style="93" min="9" max="10"/>
    <col width="17.6640625" customWidth="1" style="93" min="11" max="11"/>
    <col width="13.83203125" customWidth="1" style="93" min="12" max="12"/>
    <col width="15.83203125" customWidth="1" style="93" min="13" max="13"/>
    <col width="14.33203125" customWidth="1" style="93" min="14" max="15"/>
    <col width="13.83203125" customWidth="1" style="93" min="16" max="16"/>
    <col width="11.6640625" customWidth="1" style="93" min="17" max="17"/>
    <col width="14.5" customWidth="1" style="93" min="18" max="18"/>
    <col width="10.5" customWidth="1" style="93" min="19" max="20"/>
    <col width="14.33203125" customWidth="1" style="93" min="21" max="21"/>
    <col width="17.1640625" customWidth="1" style="93" min="22" max="22"/>
    <col width="11.33203125" customWidth="1" style="93" min="23" max="23"/>
    <col width="15.6640625" customWidth="1" style="93" min="24" max="24"/>
    <col width="16.33203125" customWidth="1" style="93" min="25" max="25"/>
    <col width="8.33203125" customWidth="1" style="93" min="26" max="26"/>
    <col width="16.33203125" customWidth="1" style="93" min="27" max="27"/>
    <col width="16.1640625" customWidth="1" style="93" min="28" max="28"/>
    <col width="14.6640625" customWidth="1" style="93" min="29" max="32"/>
    <col width="15.5" customWidth="1" style="93" min="33" max="33"/>
    <col width="11.6640625" bestFit="1" customWidth="1" style="93" min="34" max="34"/>
    <col width="16.1640625" customWidth="1" style="93" min="35" max="35"/>
    <col width="12.33203125" customWidth="1" style="93" min="37" max="37"/>
    <col width="11.6640625" customWidth="1" style="93" min="38" max="38"/>
    <col width="14.33203125" customWidth="1" style="93" min="41" max="41"/>
    <col width="12.33203125" customWidth="1" style="93" min="42" max="42"/>
  </cols>
  <sheetData>
    <row r="1" ht="60.75" customFormat="1" customHeight="1" s="22" thickBot="1">
      <c r="A1" s="1" t="inlineStr">
        <is>
          <t>字段</t>
        </is>
      </c>
      <c r="B1" s="2" t="inlineStr">
        <is>
          <t>按照《通知》和《倡议书》中降费项目的实际累计降费规模（万元）**上月**</t>
        </is>
      </c>
      <c r="C1" s="3" t="inlineStr">
        <is>
          <t>实际累计*新</t>
        </is>
      </c>
      <c r="D1" s="2" t="inlineStr">
        <is>
          <t>按照《通知》和《倡议书》中降费项目的累计预估降费规模（万元）**上月**</t>
        </is>
      </c>
      <c r="E1" s="4" t="inlineStr">
        <is>
          <t>本月累计预估*新</t>
        </is>
      </c>
      <c r="F1" s="2" t="n"/>
      <c r="G1" s="2" t="inlineStr">
        <is>
          <t>自主降费项目的实际累计降费规模（万元）</t>
        </is>
      </c>
      <c r="H1" s="2" t="inlineStr">
        <is>
          <t>自主降费项目的累计预估降费规模（万元）</t>
        </is>
      </c>
      <c r="I1" s="5" t="inlineStr">
        <is>
          <t>实际累计降费规模总计（万元）</t>
        </is>
      </c>
      <c r="J1" s="6" t="inlineStr">
        <is>
          <t>预估累计降费规模总计（万元）</t>
        </is>
      </c>
      <c r="K1" s="7" t="inlineStr">
        <is>
          <t>累计惠及小微企业和个体工商户数量（户）
**上月**</t>
        </is>
      </c>
      <c r="L1" s="8" t="n"/>
      <c r="M1" s="8" t="n"/>
      <c r="N1" s="9" t="n"/>
      <c r="O1" s="9" t="n"/>
      <c r="P1" s="10" t="n"/>
      <c r="Q1" s="11" t="inlineStr">
        <is>
          <t>已完成识别小微企业数量（户）
**上月**</t>
        </is>
      </c>
      <c r="R1" s="12" t="inlineStr">
        <is>
          <t>新**当月数据**</t>
        </is>
      </c>
      <c r="S1" s="12" t="n"/>
      <c r="T1" s="13" t="n"/>
      <c r="U1" s="9" t="n"/>
      <c r="V1" s="14" t="n"/>
      <c r="W1" s="11" t="inlineStr">
        <is>
          <t>已完成识别个体工商户数量（户）
**上月**</t>
        </is>
      </c>
      <c r="X1" s="12" t="inlineStr">
        <is>
          <t>新**当月数据**</t>
        </is>
      </c>
      <c r="Y1" s="12" t="n"/>
      <c r="Z1" s="13" t="n"/>
      <c r="AA1" s="14" t="n"/>
      <c r="AB1" s="15" t="inlineStr">
        <is>
          <t>已完成识别有经营行为的个人数量（户）
**上月**</t>
        </is>
      </c>
      <c r="AC1" s="16" t="inlineStr">
        <is>
          <t>新**当月数据**</t>
        </is>
      </c>
      <c r="AD1" s="16" t="n"/>
      <c r="AE1" s="17" t="n"/>
      <c r="AF1" s="17" t="n"/>
      <c r="AG1" s="2" t="inlineStr">
        <is>
          <t>退费机制累计发生退费金额（元）</t>
        </is>
      </c>
      <c r="AH1" s="2" t="inlineStr">
        <is>
          <t>进企业、进园区等实地宣传累计次数（次）</t>
        </is>
      </c>
      <c r="AI1" s="2" t="inlineStr">
        <is>
          <t>官网、微信公众号、媒体累计发布宣传信息累计数量（篇）</t>
        </is>
      </c>
      <c r="AJ1" s="18" t="inlineStr">
        <is>
          <t>官网、微信公众号、媒体累计点击次数（次）</t>
        </is>
      </c>
      <c r="AK1" s="7" t="inlineStr">
        <is>
          <t>向客户以电话、短信、弹窗等形式精准通知累计次数（次）</t>
        </is>
      </c>
      <c r="AL1" s="19" t="inlineStr">
        <is>
          <t>新**当月数据**</t>
        </is>
      </c>
      <c r="AM1" s="20" t="n"/>
      <c r="AN1" s="20" t="n"/>
      <c r="AO1" s="9" t="n"/>
      <c r="AP1" s="21" t="n"/>
    </row>
    <row r="2" ht="120" customHeight="1" s="93">
      <c r="A2" s="23" t="inlineStr">
        <is>
          <t>填报逻辑</t>
        </is>
      </c>
      <c r="B2" s="24" t="inlineStr">
        <is>
          <t>0930~当月（九折降费+零费率降费成本）</t>
        </is>
      </c>
      <c r="C2" s="24" t="inlineStr">
        <is>
          <t>截至当月累计</t>
        </is>
      </c>
      <c r="D2" s="24" t="inlineStr">
        <is>
          <t>（0930~当月降费金额）+（1101~当月降费金额）</t>
        </is>
      </c>
      <c r="E2" s="24" t="inlineStr">
        <is>
          <t>(C3-B3)+C3</t>
        </is>
      </c>
      <c r="F2" s="24" t="inlineStr">
        <is>
          <t>本期实际与上期预估差异</t>
        </is>
      </c>
      <c r="G2" s="24" t="inlineStr">
        <is>
          <t>——</t>
        </is>
      </c>
      <c r="H2" s="24" t="inlineStr">
        <is>
          <t>——</t>
        </is>
      </c>
      <c r="I2" s="24" t="inlineStr">
        <is>
          <t>等于B2</t>
        </is>
      </c>
      <c r="J2" s="25" t="inlineStr">
        <is>
          <t>等于C2</t>
        </is>
      </c>
      <c r="K2" s="26" t="inlineStr">
        <is>
          <t>0901~当月九折降费报名商户数+当月期末值零费率惠及客户数</t>
        </is>
      </c>
      <c r="L2" s="24" t="inlineStr">
        <is>
          <t>截至当月累计</t>
        </is>
      </c>
      <c r="M2" s="27" t="inlineStr">
        <is>
          <t>转移视频号商户数</t>
        </is>
      </c>
      <c r="N2" s="28" t="inlineStr">
        <is>
          <t>【教培行业】取消降费活动，转移至0.38%费率部分商户数</t>
        </is>
      </c>
      <c r="O2" s="29" t="inlineStr">
        <is>
          <t>2024年9月30日以后不再享受9折降费优惠的商户数（历史惠及过）</t>
        </is>
      </c>
      <c r="P2" s="30" t="inlineStr">
        <is>
          <t>本月报送商户数</t>
        </is>
      </c>
      <c r="Q2" s="31" t="inlineStr">
        <is>
          <t>0901~当月（九折降费报名小微数）+当月期末值零费率惠及小微数）</t>
        </is>
      </c>
      <c r="R2" s="32" t="n"/>
      <c r="S2" s="33" t="inlineStr">
        <is>
          <t>转移视频号商户数</t>
        </is>
      </c>
      <c r="T2" s="34" t="inlineStr">
        <is>
          <t>【教培行业】取消降费活动，转移至0.38%费率部分商户数</t>
        </is>
      </c>
      <c r="U2" s="29" t="inlineStr">
        <is>
          <t>2024年9月30日以后不再享受9折降费优惠的商户数（历史惠及过）</t>
        </is>
      </c>
      <c r="V2" s="35" t="inlineStr">
        <is>
          <t>本月报送商户数</t>
        </is>
      </c>
      <c r="W2" s="31" t="inlineStr">
        <is>
          <t>0901~当月（九折降费报名个体数）+当月期末值零费率惠及个体数</t>
        </is>
      </c>
      <c r="X2" s="36" t="n"/>
      <c r="Y2" s="33" t="inlineStr">
        <is>
          <t>转移视频号商户数</t>
        </is>
      </c>
      <c r="Z2" s="34" t="inlineStr">
        <is>
          <t>【教培行业】取消降费活动，转移至0.38%费率部分商户数</t>
        </is>
      </c>
      <c r="AA2" s="35" t="inlineStr">
        <is>
          <t>本月报送商户数</t>
        </is>
      </c>
      <c r="AB2" s="37" t="inlineStr">
        <is>
          <t>0901~当月（九折降费报名个体数）+当月期末值零费率惠及个体数+9.30~当月免费体现个体数</t>
        </is>
      </c>
      <c r="AC2" s="24" t="n"/>
      <c r="AD2" s="38" t="inlineStr">
        <is>
          <t>转移视频号商户数</t>
        </is>
      </c>
      <c r="AE2" s="39" t="inlineStr">
        <is>
          <t>【教培行业】取消降费活动，转移至0.38%费率部分商户数</t>
        </is>
      </c>
      <c r="AF2" s="40" t="inlineStr">
        <is>
          <t>本月报送商户数</t>
        </is>
      </c>
      <c r="AG2" s="37" t="n"/>
      <c r="AH2" s="24" t="n"/>
      <c r="AI2" s="41" t="n"/>
      <c r="AJ2" s="42" t="n"/>
      <c r="AK2" s="26" t="inlineStr">
        <is>
          <t>0901~当月（九折降费报名小微与个体数）</t>
        </is>
      </c>
      <c r="AL2" s="43" t="n"/>
      <c r="AM2" s="27" t="inlineStr">
        <is>
          <t>转移视频号商户数</t>
        </is>
      </c>
      <c r="AN2" s="28" t="inlineStr">
        <is>
          <t>【教培行业】取消降费活动，转移至0.38%费率部分商户数</t>
        </is>
      </c>
      <c r="AO2" s="29" t="inlineStr">
        <is>
          <t>2024年9月30日以后不再享受9折降费优惠的商户数（历史惠及过）</t>
        </is>
      </c>
      <c r="AP2" s="30" t="inlineStr">
        <is>
          <t>本月报送商户数</t>
        </is>
      </c>
    </row>
    <row r="3">
      <c r="A3" s="0" t="inlineStr">
        <is>
          <t>安徽省</t>
        </is>
      </c>
      <c r="B3" s="94" t="n">
        <v>2340.255219329598</v>
      </c>
      <c r="C3" s="45" t="n">
        <v>2367.453914387771</v>
      </c>
      <c r="D3" s="95" t="n">
        <v>2367.453914387771</v>
      </c>
      <c r="E3" s="45">
        <f>(C3-B3)+C3</f>
        <v/>
      </c>
      <c r="F3" s="47">
        <f>(C3-D3)/C3</f>
        <v/>
      </c>
      <c r="G3" s="95" t="n"/>
      <c r="I3" s="48" t="n"/>
      <c r="J3" s="95" t="n"/>
      <c r="K3" s="49" t="n">
        <v>177960</v>
      </c>
      <c r="L3" s="50" t="n">
        <v>180061</v>
      </c>
      <c r="M3" s="51" t="n">
        <v>7219</v>
      </c>
      <c r="N3" s="52" t="n">
        <v>521</v>
      </c>
      <c r="O3" s="53" t="n">
        <v>1383</v>
      </c>
      <c r="P3" s="54">
        <f>L3+M3+N3+O3</f>
        <v/>
      </c>
      <c r="Q3" s="55" t="n">
        <v>81732</v>
      </c>
      <c r="R3" s="56" t="n">
        <v>82718</v>
      </c>
      <c r="S3" s="51" t="n">
        <v>2432</v>
      </c>
      <c r="T3" s="52" t="n">
        <v>485</v>
      </c>
      <c r="U3" s="53" t="n">
        <v>1383</v>
      </c>
      <c r="V3" s="54">
        <f>R3+S3+T3+U3</f>
        <v/>
      </c>
      <c r="W3" s="49" t="n">
        <v>96228</v>
      </c>
      <c r="X3" s="50" t="n">
        <v>97343</v>
      </c>
      <c r="Y3" s="51">
        <f>M3-S3</f>
        <v/>
      </c>
      <c r="Z3" s="52" t="n">
        <v>36</v>
      </c>
      <c r="AA3" s="54">
        <f>X3+Y3+Z3</f>
        <v/>
      </c>
      <c r="AK3" s="57" t="n">
        <v>177882</v>
      </c>
      <c r="AL3" s="50" t="n">
        <v>180065</v>
      </c>
      <c r="AM3" s="58" t="n">
        <v>7219</v>
      </c>
      <c r="AN3" s="59" t="n">
        <v>521</v>
      </c>
      <c r="AO3" s="53" t="n">
        <v>1383</v>
      </c>
      <c r="AP3" s="54">
        <f>AL3+AM3+AN3+AO3</f>
        <v/>
      </c>
    </row>
    <row r="4">
      <c r="A4" s="0" t="inlineStr">
        <is>
          <t>北京市</t>
        </is>
      </c>
      <c r="B4" s="94" t="n">
        <v>113541.7340347608</v>
      </c>
      <c r="C4" s="45" t="n">
        <v>115962.9220930285</v>
      </c>
      <c r="D4" s="95" t="n">
        <v>115962.9220930285</v>
      </c>
      <c r="E4" s="45">
        <f>(C4-B4)+C4</f>
        <v/>
      </c>
      <c r="F4" s="47">
        <f>(C4-D4)/C4</f>
        <v/>
      </c>
      <c r="G4" s="95" t="n"/>
      <c r="H4" s="60" t="n"/>
      <c r="I4" s="48" t="n"/>
      <c r="J4" s="95" t="n"/>
      <c r="K4" s="49" t="n">
        <v>191386</v>
      </c>
      <c r="L4" s="50" t="n">
        <v>193589</v>
      </c>
      <c r="M4" s="51" t="n">
        <v>6455</v>
      </c>
      <c r="N4" s="52" t="n">
        <v>67</v>
      </c>
      <c r="O4" s="53" t="n">
        <v>4127</v>
      </c>
      <c r="P4" s="54">
        <f>L4+M4+N4+O4</f>
        <v/>
      </c>
      <c r="Q4" s="55" t="n">
        <v>182720</v>
      </c>
      <c r="R4" s="56" t="n">
        <v>184818</v>
      </c>
      <c r="S4" s="51" t="n">
        <v>6052</v>
      </c>
      <c r="T4" s="52" t="n">
        <v>61</v>
      </c>
      <c r="U4" s="53" t="n">
        <v>4127</v>
      </c>
      <c r="V4" s="54">
        <f>R4+S4+T4+U4</f>
        <v/>
      </c>
      <c r="W4" s="49" t="n">
        <v>8666</v>
      </c>
      <c r="X4" s="50" t="n">
        <v>8773</v>
      </c>
      <c r="Y4" s="51">
        <f>M4-S4</f>
        <v/>
      </c>
      <c r="Z4" s="52" t="n">
        <v>6</v>
      </c>
      <c r="AA4" s="54">
        <f>X4+Y4+Z4</f>
        <v/>
      </c>
      <c r="AK4" s="57" t="n">
        <v>191018</v>
      </c>
      <c r="AL4" s="50" t="n">
        <v>193277</v>
      </c>
      <c r="AM4" s="58" t="n">
        <v>6455</v>
      </c>
      <c r="AN4" s="59" t="n">
        <v>67</v>
      </c>
      <c r="AO4" s="53" t="n">
        <v>4127</v>
      </c>
      <c r="AP4" s="54">
        <f>AL4+AM4+AN4+AO4</f>
        <v/>
      </c>
    </row>
    <row r="5">
      <c r="A5" s="0" t="inlineStr">
        <is>
          <t>福建省</t>
        </is>
      </c>
      <c r="B5" s="94" t="n">
        <v>3140.219882787038</v>
      </c>
      <c r="C5" s="45" t="n">
        <v>3179.958172001231</v>
      </c>
      <c r="D5" s="95" t="n">
        <v>3180.754985390673</v>
      </c>
      <c r="E5" s="45">
        <f>(C5-B5)+C5</f>
        <v/>
      </c>
      <c r="F5" s="47">
        <f>(C5-D5)/C5</f>
        <v/>
      </c>
      <c r="G5" s="95" t="n"/>
      <c r="I5" s="48" t="n"/>
      <c r="J5" s="95" t="n"/>
      <c r="K5" s="49" t="n">
        <v>353907</v>
      </c>
      <c r="L5" s="50" t="n">
        <v>357546</v>
      </c>
      <c r="M5" s="51" t="n">
        <v>28099</v>
      </c>
      <c r="N5" s="52" t="n">
        <v>318</v>
      </c>
      <c r="O5" s="53" t="n">
        <v>1935</v>
      </c>
      <c r="P5" s="54">
        <f>L5+M5+N5+O5</f>
        <v/>
      </c>
      <c r="Q5" s="55" t="n">
        <v>107279</v>
      </c>
      <c r="R5" s="56" t="n">
        <v>108495</v>
      </c>
      <c r="S5" s="51" t="n">
        <v>6466</v>
      </c>
      <c r="T5" s="52" t="n">
        <v>280</v>
      </c>
      <c r="U5" s="53" t="n">
        <v>1935</v>
      </c>
      <c r="V5" s="54">
        <f>R5+S5+T5+U5</f>
        <v/>
      </c>
      <c r="W5" s="49" t="n">
        <v>246628</v>
      </c>
      <c r="X5" s="50" t="n">
        <v>249063</v>
      </c>
      <c r="Y5" s="51">
        <f>M5-S5</f>
        <v/>
      </c>
      <c r="Z5" s="52" t="n">
        <v>38</v>
      </c>
      <c r="AA5" s="54">
        <f>X5+Y5+Z5</f>
        <v/>
      </c>
      <c r="AK5" s="57" t="n">
        <v>353783</v>
      </c>
      <c r="AL5" s="50" t="n">
        <v>357495</v>
      </c>
      <c r="AM5" s="58" t="n">
        <v>28099</v>
      </c>
      <c r="AN5" s="59" t="n">
        <v>318</v>
      </c>
      <c r="AO5" s="53" t="n">
        <v>1935</v>
      </c>
      <c r="AP5" s="54">
        <f>AL5+AM5+AN5+AO5</f>
        <v/>
      </c>
    </row>
    <row r="6">
      <c r="A6" s="0" t="inlineStr">
        <is>
          <t>甘肃省</t>
        </is>
      </c>
      <c r="B6" s="94" t="n">
        <v>516.239901112217</v>
      </c>
      <c r="C6" s="45" t="n">
        <v>523.8203356524825</v>
      </c>
      <c r="D6" s="95" t="n">
        <v>523.8203356524825</v>
      </c>
      <c r="E6" s="45">
        <f>(C6-B6)+C6</f>
        <v/>
      </c>
      <c r="F6" s="47">
        <f>(C6-D6)/C6</f>
        <v/>
      </c>
      <c r="G6" s="95" t="n"/>
      <c r="I6" s="48" t="n"/>
      <c r="J6" s="95" t="n"/>
      <c r="K6" s="61" t="n">
        <v>58610</v>
      </c>
      <c r="L6" s="56" t="n">
        <v>59191</v>
      </c>
      <c r="M6" s="51" t="n">
        <v>1164</v>
      </c>
      <c r="N6" s="52" t="n">
        <v>969</v>
      </c>
      <c r="O6" s="53" t="n">
        <v>488</v>
      </c>
      <c r="P6" s="54">
        <f>L6+M6+N6+O6</f>
        <v/>
      </c>
      <c r="Q6" s="55" t="n">
        <v>22837</v>
      </c>
      <c r="R6" s="56" t="n">
        <v>23084</v>
      </c>
      <c r="S6" s="51" t="n">
        <v>515</v>
      </c>
      <c r="T6" s="52" t="n">
        <v>965</v>
      </c>
      <c r="U6" s="53" t="n">
        <v>488</v>
      </c>
      <c r="V6" s="54">
        <f>R6+S6+T6+U6</f>
        <v/>
      </c>
      <c r="W6" s="49" t="n">
        <v>35773</v>
      </c>
      <c r="X6" s="50" t="n">
        <v>36105</v>
      </c>
      <c r="Y6" s="51">
        <f>M6-S6</f>
        <v/>
      </c>
      <c r="Z6" s="52" t="n">
        <v>4</v>
      </c>
      <c r="AA6" s="54">
        <f>X6+Y6+Z6</f>
        <v/>
      </c>
      <c r="AK6" s="61" t="n">
        <v>58590</v>
      </c>
      <c r="AL6" s="56" t="n">
        <v>59176</v>
      </c>
      <c r="AM6" s="58" t="n">
        <v>1164</v>
      </c>
      <c r="AN6" s="59" t="n">
        <v>969</v>
      </c>
      <c r="AO6" s="53" t="n">
        <v>488</v>
      </c>
      <c r="AP6" s="54">
        <f>AL6+AM6+AN6+AO6</f>
        <v/>
      </c>
    </row>
    <row r="7">
      <c r="A7" s="0" t="inlineStr">
        <is>
          <t>广东省</t>
        </is>
      </c>
      <c r="B7" s="94" t="n">
        <v>15740.70302640792</v>
      </c>
      <c r="C7" s="45" t="n">
        <v>15955.03843146871</v>
      </c>
      <c r="D7" s="95" t="n">
        <v>15978.24716163468</v>
      </c>
      <c r="E7" s="45">
        <f>(C7-B7)+C7</f>
        <v/>
      </c>
      <c r="F7" s="47">
        <f>(C7-D7)/C7</f>
        <v/>
      </c>
      <c r="G7" s="95" t="n"/>
      <c r="I7" s="48" t="n"/>
      <c r="J7" s="95" t="n"/>
      <c r="K7" s="49" t="n">
        <v>851673</v>
      </c>
      <c r="L7" s="50" t="n">
        <v>866250</v>
      </c>
      <c r="M7" s="51" t="n">
        <v>43000</v>
      </c>
      <c r="N7" s="52" t="n">
        <v>1609</v>
      </c>
      <c r="O7" s="53" t="n">
        <v>7153</v>
      </c>
      <c r="P7" s="54">
        <f>L7+M7+N7+O7</f>
        <v/>
      </c>
      <c r="Q7" s="55" t="n">
        <v>444855</v>
      </c>
      <c r="R7" s="56" t="n">
        <v>450879</v>
      </c>
      <c r="S7" s="51" t="n">
        <v>16752</v>
      </c>
      <c r="T7" s="52" t="n">
        <v>1513</v>
      </c>
      <c r="U7" s="53" t="n">
        <v>7153</v>
      </c>
      <c r="V7" s="54">
        <f>R7+S7+T7+U7</f>
        <v/>
      </c>
      <c r="W7" s="49" t="n">
        <v>406818</v>
      </c>
      <c r="X7" s="50" t="n">
        <v>415371</v>
      </c>
      <c r="Y7" s="51">
        <f>M7-S7</f>
        <v/>
      </c>
      <c r="Z7" s="52" t="n">
        <v>96</v>
      </c>
      <c r="AA7" s="54">
        <f>X7+Y7+Z7</f>
        <v/>
      </c>
      <c r="AK7" s="57" t="n">
        <v>851200</v>
      </c>
      <c r="AL7" s="50" t="n">
        <v>865758</v>
      </c>
      <c r="AM7" s="58" t="n">
        <v>43000</v>
      </c>
      <c r="AN7" s="59" t="n">
        <v>1609</v>
      </c>
      <c r="AO7" s="53" t="n">
        <v>7153</v>
      </c>
      <c r="AP7" s="54">
        <f>AL7+AM7+AN7+AO7</f>
        <v/>
      </c>
    </row>
    <row r="8">
      <c r="A8" s="0" t="inlineStr">
        <is>
          <t>广西壮族自治区</t>
        </is>
      </c>
      <c r="B8" s="94" t="n">
        <v>1841.535012269359</v>
      </c>
      <c r="C8" s="45" t="n">
        <v>1862.924650733859</v>
      </c>
      <c r="D8" s="95" t="n">
        <v>1863.722805313432</v>
      </c>
      <c r="E8" s="45">
        <f>(C8-B8)+C8</f>
        <v/>
      </c>
      <c r="F8" s="47">
        <f>(C8-D8)/C8</f>
        <v/>
      </c>
      <c r="G8" s="95" t="n"/>
      <c r="I8" s="48" t="n"/>
      <c r="J8" s="95" t="n"/>
      <c r="K8" s="49" t="n">
        <v>144546</v>
      </c>
      <c r="L8" s="50" t="n">
        <v>146161</v>
      </c>
      <c r="M8" s="51" t="n">
        <v>4480</v>
      </c>
      <c r="N8" s="52" t="n">
        <v>225</v>
      </c>
      <c r="O8" s="53" t="n">
        <v>1468</v>
      </c>
      <c r="P8" s="54">
        <f>L8+M8+N8+O8</f>
        <v/>
      </c>
      <c r="Q8" s="55" t="n">
        <v>59140</v>
      </c>
      <c r="R8" s="56" t="n">
        <v>59809</v>
      </c>
      <c r="S8" s="51" t="n">
        <v>1500</v>
      </c>
      <c r="T8" s="52" t="n">
        <v>202</v>
      </c>
      <c r="U8" s="53" t="n">
        <v>1468</v>
      </c>
      <c r="V8" s="54">
        <f>R8+S8+T8+U8</f>
        <v/>
      </c>
      <c r="W8" s="49" t="n">
        <v>85406</v>
      </c>
      <c r="X8" s="50" t="n">
        <v>86352</v>
      </c>
      <c r="Y8" s="51">
        <f>M8-S8</f>
        <v/>
      </c>
      <c r="Z8" s="52" t="n">
        <v>23</v>
      </c>
      <c r="AA8" s="54">
        <f>X8+Y8+Z8</f>
        <v/>
      </c>
      <c r="AK8" s="57" t="n">
        <v>144469</v>
      </c>
      <c r="AL8" s="50" t="n">
        <v>146342</v>
      </c>
      <c r="AM8" s="58" t="n">
        <v>4480</v>
      </c>
      <c r="AN8" s="59" t="n">
        <v>225</v>
      </c>
      <c r="AO8" s="53" t="n">
        <v>1468</v>
      </c>
      <c r="AP8" s="54">
        <f>AL8+AM8+AN8+AO8</f>
        <v/>
      </c>
    </row>
    <row r="9">
      <c r="A9" s="0" t="inlineStr">
        <is>
          <t>贵州省</t>
        </is>
      </c>
      <c r="B9" s="94" t="n">
        <v>2722.276854667557</v>
      </c>
      <c r="C9" s="45" t="n">
        <v>2735.13279168342</v>
      </c>
      <c r="D9" s="95" t="n">
        <v>2735.13279168342</v>
      </c>
      <c r="E9" s="45">
        <f>(C9-B9)+C9</f>
        <v/>
      </c>
      <c r="F9" s="47">
        <f>(C9-D9)/C9</f>
        <v/>
      </c>
      <c r="G9" s="95" t="n"/>
      <c r="I9" s="48" t="n"/>
      <c r="J9" s="95" t="n"/>
      <c r="K9" s="49" t="n">
        <v>100340</v>
      </c>
      <c r="L9" s="50" t="n">
        <v>101886</v>
      </c>
      <c r="M9" s="51" t="n">
        <v>2707</v>
      </c>
      <c r="N9" s="52" t="n">
        <v>466</v>
      </c>
      <c r="O9" s="53" t="n">
        <v>655</v>
      </c>
      <c r="P9" s="54">
        <f>L9+M9+N9+O9</f>
        <v/>
      </c>
      <c r="Q9" s="55" t="n">
        <v>44263</v>
      </c>
      <c r="R9" s="56" t="n">
        <v>44786</v>
      </c>
      <c r="S9" s="51" t="n">
        <v>1241</v>
      </c>
      <c r="T9" s="52" t="n">
        <v>439</v>
      </c>
      <c r="U9" s="53" t="n">
        <v>655</v>
      </c>
      <c r="V9" s="54">
        <f>R9+S9+T9+U9</f>
        <v/>
      </c>
      <c r="W9" s="49" t="n">
        <v>56077</v>
      </c>
      <c r="X9" s="50" t="n">
        <v>57033</v>
      </c>
      <c r="Y9" s="51">
        <f>M9-S9</f>
        <v/>
      </c>
      <c r="Z9" s="52" t="n">
        <v>27</v>
      </c>
      <c r="AA9" s="54">
        <f>X9+Y9+Z9</f>
        <v/>
      </c>
      <c r="AK9" s="57" t="n">
        <v>100299</v>
      </c>
      <c r="AL9" s="50" t="n">
        <v>101844</v>
      </c>
      <c r="AM9" s="58" t="n">
        <v>2707</v>
      </c>
      <c r="AN9" s="59" t="n">
        <v>466</v>
      </c>
      <c r="AO9" s="53" t="n">
        <v>655</v>
      </c>
      <c r="AP9" s="54">
        <f>AL9+AM9+AN9+AO9</f>
        <v/>
      </c>
    </row>
    <row r="10">
      <c r="A10" s="0" t="inlineStr">
        <is>
          <t>海南省</t>
        </is>
      </c>
      <c r="B10" s="94" t="n">
        <v>3064.890305367007</v>
      </c>
      <c r="C10" s="45" t="n">
        <v>3090.287032562509</v>
      </c>
      <c r="D10" s="95" t="n">
        <v>3089.117801856133</v>
      </c>
      <c r="E10" s="45">
        <f>(C10-B10)+C10</f>
        <v/>
      </c>
      <c r="F10" s="47">
        <f>(C10-D10)/C10</f>
        <v/>
      </c>
      <c r="G10" s="95" t="n"/>
      <c r="I10" s="48" t="n"/>
      <c r="J10" s="95" t="n"/>
      <c r="K10" s="49" t="n">
        <v>235671</v>
      </c>
      <c r="L10" s="50" t="n">
        <v>238112</v>
      </c>
      <c r="M10" s="51" t="n">
        <v>19510</v>
      </c>
      <c r="N10" s="52" t="n">
        <v>304</v>
      </c>
      <c r="O10" s="53" t="n">
        <v>1288</v>
      </c>
      <c r="P10" s="54">
        <f>L10+M10+N10+O10</f>
        <v/>
      </c>
      <c r="Q10" s="55" t="n">
        <v>41705</v>
      </c>
      <c r="R10" s="56" t="n">
        <v>42258</v>
      </c>
      <c r="S10" s="51" t="n">
        <v>767</v>
      </c>
      <c r="T10" s="52" t="n">
        <v>260</v>
      </c>
      <c r="U10" s="53" t="n">
        <v>1288</v>
      </c>
      <c r="V10" s="54">
        <f>R10+S10+T10+U10</f>
        <v/>
      </c>
      <c r="W10" s="49" t="n">
        <v>193966</v>
      </c>
      <c r="X10" s="50" t="n">
        <v>195797</v>
      </c>
      <c r="Y10" s="51">
        <f>M10-S10</f>
        <v/>
      </c>
      <c r="Z10" s="52" t="n">
        <v>44</v>
      </c>
      <c r="AA10" s="54">
        <f>X10+Y10+Z10</f>
        <v/>
      </c>
      <c r="AK10" s="57" t="n">
        <v>235648</v>
      </c>
      <c r="AL10" s="50" t="n">
        <v>238089</v>
      </c>
      <c r="AM10" s="58" t="n">
        <v>19510</v>
      </c>
      <c r="AN10" s="59" t="n">
        <v>304</v>
      </c>
      <c r="AO10" s="53" t="n">
        <v>1288</v>
      </c>
      <c r="AP10" s="54">
        <f>AL10+AM10+AN10+AO10</f>
        <v/>
      </c>
    </row>
    <row r="11">
      <c r="A11" s="0" t="inlineStr">
        <is>
          <t>河北省</t>
        </is>
      </c>
      <c r="B11" s="94" t="n">
        <v>1831.495869356981</v>
      </c>
      <c r="C11" s="45" t="n">
        <v>1859.55402307786</v>
      </c>
      <c r="D11" s="95" t="n">
        <v>1859.441143452942</v>
      </c>
      <c r="E11" s="45">
        <f>(C11-B11)+C11</f>
        <v/>
      </c>
      <c r="F11" s="47">
        <f>(C11-D11)/C11</f>
        <v/>
      </c>
      <c r="G11" s="95" t="n"/>
      <c r="I11" s="48" t="n"/>
      <c r="J11" s="95" t="n"/>
      <c r="K11" s="49" t="n">
        <v>211903</v>
      </c>
      <c r="L11" s="50" t="n">
        <v>214664</v>
      </c>
      <c r="M11" s="51" t="n">
        <v>20361</v>
      </c>
      <c r="N11" s="52" t="n">
        <v>440</v>
      </c>
      <c r="O11" s="53" t="n">
        <v>1032</v>
      </c>
      <c r="P11" s="54">
        <f>L11+M11+N11+O11</f>
        <v/>
      </c>
      <c r="Q11" s="55" t="n">
        <v>78646</v>
      </c>
      <c r="R11" s="56" t="n">
        <v>79647</v>
      </c>
      <c r="S11" s="51" t="n">
        <v>3769</v>
      </c>
      <c r="T11" s="52" t="n">
        <v>387</v>
      </c>
      <c r="U11" s="53" t="n">
        <v>1032</v>
      </c>
      <c r="V11" s="54">
        <f>R11+S11+T11+U11</f>
        <v/>
      </c>
      <c r="W11" s="49" t="n">
        <v>133257</v>
      </c>
      <c r="X11" s="50" t="n">
        <v>134909</v>
      </c>
      <c r="Y11" s="51">
        <f>M11-S11</f>
        <v/>
      </c>
      <c r="Z11" s="52" t="n">
        <v>53</v>
      </c>
      <c r="AA11" s="54">
        <f>X11+Y11+Z11</f>
        <v/>
      </c>
      <c r="AK11" s="57" t="n">
        <v>211816</v>
      </c>
      <c r="AL11" s="50" t="n">
        <v>214678</v>
      </c>
      <c r="AM11" s="58" t="n">
        <v>20361</v>
      </c>
      <c r="AN11" s="59" t="n">
        <v>440</v>
      </c>
      <c r="AO11" s="53" t="n">
        <v>1032</v>
      </c>
      <c r="AP11" s="54">
        <f>AL11+AM11+AN11+AO11</f>
        <v/>
      </c>
    </row>
    <row r="12">
      <c r="A12" s="0" t="inlineStr">
        <is>
          <t>河南省</t>
        </is>
      </c>
      <c r="B12" s="94" t="n">
        <v>3335.558314409642</v>
      </c>
      <c r="C12" s="45" t="n">
        <v>3383.738899510551</v>
      </c>
      <c r="D12" s="95" t="n">
        <v>3401.255961643376</v>
      </c>
      <c r="E12" s="45">
        <f>(C12-B12)+C12</f>
        <v/>
      </c>
      <c r="F12" s="47">
        <f>(C12-D12)/C12</f>
        <v/>
      </c>
      <c r="G12" s="95" t="n"/>
      <c r="I12" s="48" t="n"/>
      <c r="J12" s="95" t="n"/>
      <c r="K12" s="49" t="n">
        <v>327395</v>
      </c>
      <c r="L12" s="50" t="n">
        <v>332320</v>
      </c>
      <c r="M12" s="51" t="n">
        <v>17225</v>
      </c>
      <c r="N12" s="52" t="n">
        <v>310</v>
      </c>
      <c r="O12" s="53" t="n">
        <v>2066</v>
      </c>
      <c r="P12" s="54">
        <f>L12+M12+N12+O12</f>
        <v/>
      </c>
      <c r="Q12" s="55" t="n">
        <v>126795</v>
      </c>
      <c r="R12" s="56" t="n">
        <v>128610</v>
      </c>
      <c r="S12" s="51" t="n">
        <v>4848</v>
      </c>
      <c r="T12" s="52" t="n">
        <v>246</v>
      </c>
      <c r="U12" s="53" t="n">
        <v>2066</v>
      </c>
      <c r="V12" s="54">
        <f>R12+S12+T12+U12</f>
        <v/>
      </c>
      <c r="W12" s="49" t="n">
        <v>200600</v>
      </c>
      <c r="X12" s="50" t="n">
        <v>203819</v>
      </c>
      <c r="Y12" s="51">
        <f>M12-S12</f>
        <v/>
      </c>
      <c r="Z12" s="52" t="n">
        <v>64</v>
      </c>
      <c r="AA12" s="54">
        <f>X12+Y12+Z12</f>
        <v/>
      </c>
      <c r="AK12" s="57" t="n">
        <v>327233</v>
      </c>
      <c r="AL12" s="50" t="n">
        <v>333304</v>
      </c>
      <c r="AM12" s="58" t="n">
        <v>17225</v>
      </c>
      <c r="AN12" s="59" t="n">
        <v>310</v>
      </c>
      <c r="AO12" s="53" t="n">
        <v>2066</v>
      </c>
      <c r="AP12" s="54">
        <f>AL12+AM12+AN12+AO12</f>
        <v/>
      </c>
    </row>
    <row r="13">
      <c r="A13" s="0" t="inlineStr">
        <is>
          <t>黑龙江省</t>
        </is>
      </c>
      <c r="B13" s="94" t="n">
        <v>947.1211584316377</v>
      </c>
      <c r="C13" s="45" t="n">
        <v>960.0489689283843</v>
      </c>
      <c r="D13" s="95" t="n">
        <v>960.0489689283843</v>
      </c>
      <c r="E13" s="45">
        <f>(C13-B13)+C13</f>
        <v/>
      </c>
      <c r="F13" s="47">
        <f>(C13-D13)/C13</f>
        <v/>
      </c>
      <c r="G13" s="95" t="n"/>
      <c r="I13" s="48" t="n"/>
      <c r="J13" s="95" t="n"/>
      <c r="K13" s="49" t="n">
        <v>82842</v>
      </c>
      <c r="L13" s="50" t="n">
        <v>83818</v>
      </c>
      <c r="M13" s="51" t="n">
        <v>3431</v>
      </c>
      <c r="N13" s="52" t="n">
        <v>165</v>
      </c>
      <c r="O13" s="53" t="n">
        <v>384</v>
      </c>
      <c r="P13" s="54">
        <f>L13+M13+N13+O13</f>
        <v/>
      </c>
      <c r="Q13" s="55" t="n">
        <v>23047</v>
      </c>
      <c r="R13" s="56" t="n">
        <v>23318</v>
      </c>
      <c r="S13" s="51" t="n">
        <v>971</v>
      </c>
      <c r="T13" s="52" t="n">
        <v>129</v>
      </c>
      <c r="U13" s="53" t="n">
        <v>384</v>
      </c>
      <c r="V13" s="54">
        <f>R13+S13+T13+U13</f>
        <v/>
      </c>
      <c r="W13" s="49" t="n">
        <v>59795</v>
      </c>
      <c r="X13" s="50" t="n">
        <v>60500</v>
      </c>
      <c r="Y13" s="51">
        <f>M13-S13</f>
        <v/>
      </c>
      <c r="Z13" s="52" t="n">
        <v>36</v>
      </c>
      <c r="AA13" s="54">
        <f>X13+Y13+Z13</f>
        <v/>
      </c>
      <c r="AK13" s="57" t="n">
        <v>82801</v>
      </c>
      <c r="AL13" s="50" t="n">
        <v>83911</v>
      </c>
      <c r="AM13" s="58" t="n">
        <v>3431</v>
      </c>
      <c r="AN13" s="59" t="n">
        <v>165</v>
      </c>
      <c r="AO13" s="53" t="n">
        <v>384</v>
      </c>
      <c r="AP13" s="54">
        <f>AL13+AM13+AN13+AO13</f>
        <v/>
      </c>
    </row>
    <row r="14">
      <c r="A14" s="0" t="inlineStr">
        <is>
          <t>湖北省</t>
        </is>
      </c>
      <c r="B14" s="94" t="n">
        <v>4015.011143162104</v>
      </c>
      <c r="C14" s="45" t="n">
        <v>4061.911350205058</v>
      </c>
      <c r="D14" s="95" t="n">
        <v>4061.911350205058</v>
      </c>
      <c r="E14" s="45">
        <f>(C14-B14)+C14</f>
        <v/>
      </c>
      <c r="F14" s="47">
        <f>(C14-D14)/C14</f>
        <v/>
      </c>
      <c r="G14" s="95" t="n"/>
      <c r="I14" s="48" t="n"/>
      <c r="J14" s="95" t="n"/>
      <c r="K14" s="49" t="n">
        <v>279940</v>
      </c>
      <c r="L14" s="50" t="n">
        <v>284807</v>
      </c>
      <c r="M14" s="51" t="n">
        <v>8063</v>
      </c>
      <c r="N14" s="52" t="n">
        <v>205</v>
      </c>
      <c r="O14" s="53" t="n">
        <v>2232</v>
      </c>
      <c r="P14" s="54">
        <f>L14+M14+N14+O14</f>
        <v/>
      </c>
      <c r="Q14" s="55" t="n">
        <v>97922</v>
      </c>
      <c r="R14" s="56" t="n">
        <v>99397</v>
      </c>
      <c r="S14" s="51" t="n">
        <v>2593</v>
      </c>
      <c r="T14" s="52" t="n">
        <v>155</v>
      </c>
      <c r="U14" s="53" t="n">
        <v>2232</v>
      </c>
      <c r="V14" s="54">
        <f>R14+S14+T14+U14</f>
        <v/>
      </c>
      <c r="W14" s="49" t="n">
        <v>182018</v>
      </c>
      <c r="X14" s="50" t="n">
        <v>185232</v>
      </c>
      <c r="Y14" s="51">
        <f>M14-S14</f>
        <v/>
      </c>
      <c r="Z14" s="52" t="n">
        <v>50</v>
      </c>
      <c r="AA14" s="54">
        <f>X14+Y14+Z14</f>
        <v/>
      </c>
      <c r="AK14" s="57" t="n">
        <v>279819</v>
      </c>
      <c r="AL14" s="50" t="n">
        <v>284681</v>
      </c>
      <c r="AM14" s="58" t="n">
        <v>8063</v>
      </c>
      <c r="AN14" s="59" t="n">
        <v>205</v>
      </c>
      <c r="AO14" s="53" t="n">
        <v>2232</v>
      </c>
      <c r="AP14" s="54">
        <f>AL14+AM14+AN14+AO14</f>
        <v/>
      </c>
    </row>
    <row r="15">
      <c r="A15" s="0" t="inlineStr">
        <is>
          <t>湖南省</t>
        </is>
      </c>
      <c r="B15" s="94" t="n">
        <v>3163.738540786717</v>
      </c>
      <c r="C15" s="45" t="n">
        <v>3214.622300526846</v>
      </c>
      <c r="D15" s="95" t="n">
        <v>3212.241408601924</v>
      </c>
      <c r="E15" s="45">
        <f>(C15-B15)+C15</f>
        <v/>
      </c>
      <c r="F15" s="47">
        <f>(C15-D15)/C15</f>
        <v/>
      </c>
      <c r="G15" s="95" t="n"/>
      <c r="I15" s="48" t="n"/>
      <c r="J15" s="95" t="n"/>
      <c r="K15" s="49" t="n">
        <v>271799</v>
      </c>
      <c r="L15" s="50" t="n">
        <v>276508</v>
      </c>
      <c r="M15" s="51" t="n">
        <v>11667</v>
      </c>
      <c r="N15" s="52" t="n">
        <v>663</v>
      </c>
      <c r="O15" s="53" t="n">
        <v>1934</v>
      </c>
      <c r="P15" s="54">
        <f>L15+M15+N15+O15</f>
        <v/>
      </c>
      <c r="Q15" s="55" t="n">
        <v>89744</v>
      </c>
      <c r="R15" s="56" t="n">
        <v>90905</v>
      </c>
      <c r="S15" s="51" t="n">
        <v>3315</v>
      </c>
      <c r="T15" s="52" t="n">
        <v>610</v>
      </c>
      <c r="U15" s="53" t="n">
        <v>1934</v>
      </c>
      <c r="V15" s="54">
        <f>R15+S15+T15+U15</f>
        <v/>
      </c>
      <c r="W15" s="49" t="n">
        <v>182055</v>
      </c>
      <c r="X15" s="50" t="n">
        <v>185464</v>
      </c>
      <c r="Y15" s="51">
        <f>M15-S15</f>
        <v/>
      </c>
      <c r="Z15" s="52" t="n">
        <v>53</v>
      </c>
      <c r="AA15" s="54">
        <f>X15+Y15+Z15</f>
        <v/>
      </c>
      <c r="AK15" s="57" t="n">
        <v>271672</v>
      </c>
      <c r="AL15" s="50" t="n">
        <v>276618</v>
      </c>
      <c r="AM15" s="58" t="n">
        <v>11667</v>
      </c>
      <c r="AN15" s="59" t="n">
        <v>663</v>
      </c>
      <c r="AO15" s="53" t="n">
        <v>1934</v>
      </c>
      <c r="AP15" s="54">
        <f>AL15+AM15+AN15+AO15</f>
        <v/>
      </c>
    </row>
    <row r="16">
      <c r="A16" s="0" t="inlineStr">
        <is>
          <t>吉林省</t>
        </is>
      </c>
      <c r="B16" s="94" t="n">
        <v>559.9704832858788</v>
      </c>
      <c r="C16" s="45" t="n">
        <v>569.2732098757183</v>
      </c>
      <c r="D16" s="95" t="n">
        <v>572.2755034341999</v>
      </c>
      <c r="E16" s="45">
        <f>(C16-B16)+C16</f>
        <v/>
      </c>
      <c r="F16" s="47">
        <f>(C16-D16)/C16</f>
        <v/>
      </c>
      <c r="G16" s="95" t="n"/>
      <c r="I16" s="48" t="n"/>
      <c r="J16" s="95" t="n"/>
      <c r="K16" s="49" t="n">
        <v>75778</v>
      </c>
      <c r="L16" s="50" t="n">
        <v>76824</v>
      </c>
      <c r="M16" s="51" t="n">
        <v>5228</v>
      </c>
      <c r="N16" s="52" t="n">
        <v>685</v>
      </c>
      <c r="O16" s="53" t="n">
        <v>373</v>
      </c>
      <c r="P16" s="54">
        <f>L16+M16+N16+O16</f>
        <v/>
      </c>
      <c r="Q16" s="55" t="n">
        <v>21542</v>
      </c>
      <c r="R16" s="56" t="n">
        <v>21860</v>
      </c>
      <c r="S16" s="51" t="n">
        <v>852</v>
      </c>
      <c r="T16" s="52" t="n">
        <v>674</v>
      </c>
      <c r="U16" s="53" t="n">
        <v>373</v>
      </c>
      <c r="V16" s="54">
        <f>R16+S16+T16+U16</f>
        <v/>
      </c>
      <c r="W16" s="49" t="n">
        <v>54236</v>
      </c>
      <c r="X16" s="50" t="n">
        <v>54955</v>
      </c>
      <c r="Y16" s="51">
        <f>M16-S16</f>
        <v/>
      </c>
      <c r="Z16" s="52" t="n">
        <v>11</v>
      </c>
      <c r="AA16" s="54">
        <f>X16+Y16+Z16</f>
        <v/>
      </c>
      <c r="AK16" s="57" t="n">
        <v>75752</v>
      </c>
      <c r="AL16" s="50" t="n">
        <v>76847</v>
      </c>
      <c r="AM16" s="58" t="n">
        <v>5228</v>
      </c>
      <c r="AN16" s="59" t="n">
        <v>685</v>
      </c>
      <c r="AO16" s="53" t="n">
        <v>373</v>
      </c>
      <c r="AP16" s="54">
        <f>AL16+AM16+AN16+AO16</f>
        <v/>
      </c>
    </row>
    <row r="17">
      <c r="A17" s="0" t="inlineStr">
        <is>
          <t>江苏省</t>
        </is>
      </c>
      <c r="B17" s="94" t="n">
        <v>5156.066826425629</v>
      </c>
      <c r="C17" s="45" t="n">
        <v>5221.353867651102</v>
      </c>
      <c r="D17" s="95" t="n">
        <v>5222.212930325747</v>
      </c>
      <c r="E17" s="45">
        <f>(C17-B17)+C17</f>
        <v/>
      </c>
      <c r="F17" s="47">
        <f>(C17-D17)/C17</f>
        <v/>
      </c>
      <c r="G17" s="95" t="n"/>
      <c r="I17" s="48" t="n"/>
      <c r="J17" s="95" t="n"/>
      <c r="K17" s="49" t="n">
        <v>323729</v>
      </c>
      <c r="L17" s="50" t="n">
        <v>327394</v>
      </c>
      <c r="M17" s="51" t="n">
        <v>24473</v>
      </c>
      <c r="N17" s="52" t="n">
        <v>992</v>
      </c>
      <c r="O17" s="53" t="n">
        <v>3051</v>
      </c>
      <c r="P17" s="54">
        <f>L17+M17+N17+O17</f>
        <v/>
      </c>
      <c r="Q17" s="55" t="n">
        <v>160870</v>
      </c>
      <c r="R17" s="56" t="n">
        <v>162676</v>
      </c>
      <c r="S17" s="51" t="n">
        <v>6338</v>
      </c>
      <c r="T17" s="52" t="n">
        <v>845</v>
      </c>
      <c r="U17" s="53" t="n">
        <v>3051</v>
      </c>
      <c r="V17" s="54">
        <f>R17+S17+T17+U17</f>
        <v/>
      </c>
      <c r="W17" s="49" t="n">
        <v>162859</v>
      </c>
      <c r="X17" s="50" t="n">
        <v>164718</v>
      </c>
      <c r="Y17" s="51">
        <f>M17-S17</f>
        <v/>
      </c>
      <c r="Z17" s="52" t="n">
        <v>147</v>
      </c>
      <c r="AA17" s="54">
        <f>X17+Y17+Z17</f>
        <v/>
      </c>
      <c r="AK17" s="57" t="n">
        <v>323584</v>
      </c>
      <c r="AL17" s="50" t="n">
        <v>327434</v>
      </c>
      <c r="AM17" s="58" t="n">
        <v>24473</v>
      </c>
      <c r="AN17" s="59" t="n">
        <v>992</v>
      </c>
      <c r="AO17" s="53" t="n">
        <v>3051</v>
      </c>
      <c r="AP17" s="54">
        <f>AL17+AM17+AN17+AO17</f>
        <v/>
      </c>
    </row>
    <row r="18">
      <c r="A18" s="0" t="inlineStr">
        <is>
          <t>江西省</t>
        </is>
      </c>
      <c r="B18" s="94" t="n">
        <v>1698.69561921818</v>
      </c>
      <c r="C18" s="45" t="n">
        <v>1716.622158067701</v>
      </c>
      <c r="D18" s="95" t="n">
        <v>1713.881160428008</v>
      </c>
      <c r="E18" s="45">
        <f>(C18-B18)+C18</f>
        <v/>
      </c>
      <c r="F18" s="47">
        <f>(C18-D18)/C18</f>
        <v/>
      </c>
      <c r="G18" s="95" t="n"/>
      <c r="I18" s="48" t="n"/>
      <c r="J18" s="95" t="n"/>
      <c r="K18" s="49" t="n">
        <v>289027</v>
      </c>
      <c r="L18" s="50" t="n">
        <v>290485</v>
      </c>
      <c r="M18" s="51" t="n">
        <v>13908</v>
      </c>
      <c r="N18" s="52" t="n">
        <v>529</v>
      </c>
      <c r="O18" s="53" t="n">
        <v>692</v>
      </c>
      <c r="P18" s="54">
        <f>L18+M18+N18+O18</f>
        <v/>
      </c>
      <c r="Q18" s="55" t="n">
        <v>40347</v>
      </c>
      <c r="R18" s="56" t="n">
        <v>40922</v>
      </c>
      <c r="S18" s="51" t="n">
        <v>1785</v>
      </c>
      <c r="T18" s="52" t="n">
        <v>501</v>
      </c>
      <c r="U18" s="53" t="n">
        <v>692</v>
      </c>
      <c r="V18" s="54">
        <f>R18+S18+T18+U18</f>
        <v/>
      </c>
      <c r="W18" s="49" t="n">
        <v>248680</v>
      </c>
      <c r="X18" s="50" t="n">
        <v>249548</v>
      </c>
      <c r="Y18" s="51">
        <f>M18-S18</f>
        <v/>
      </c>
      <c r="Z18" s="52" t="n">
        <v>28</v>
      </c>
      <c r="AA18" s="54">
        <f>X18+Y18+Z18</f>
        <v/>
      </c>
      <c r="AK18" s="57" t="n">
        <v>288909</v>
      </c>
      <c r="AL18" s="50" t="n">
        <v>290528</v>
      </c>
      <c r="AM18" s="58" t="n">
        <v>13908</v>
      </c>
      <c r="AN18" s="59" t="n">
        <v>529</v>
      </c>
      <c r="AO18" s="53" t="n">
        <v>692</v>
      </c>
      <c r="AP18" s="54">
        <f>AL18+AM18+AN18+AO18</f>
        <v/>
      </c>
    </row>
    <row r="19">
      <c r="A19" s="0" t="inlineStr">
        <is>
          <t>辽宁省</t>
        </is>
      </c>
      <c r="B19" s="94" t="n">
        <v>1728.321706582205</v>
      </c>
      <c r="C19" s="45" t="n">
        <v>1752.197245888878</v>
      </c>
      <c r="D19" s="95" t="n">
        <v>1752.197245888878</v>
      </c>
      <c r="E19" s="45">
        <f>(C19-B19)+C19</f>
        <v/>
      </c>
      <c r="F19" s="47">
        <f>(C19-D19)/C19</f>
        <v/>
      </c>
      <c r="G19" s="95" t="n"/>
      <c r="I19" s="48" t="n"/>
      <c r="J19" s="95" t="n"/>
      <c r="K19" s="49" t="n">
        <v>135051</v>
      </c>
      <c r="L19" s="50" t="n">
        <v>137399</v>
      </c>
      <c r="M19" s="51" t="n">
        <v>6935</v>
      </c>
      <c r="N19" s="52" t="n">
        <v>245</v>
      </c>
      <c r="O19" s="53" t="n">
        <v>950</v>
      </c>
      <c r="P19" s="54">
        <f>L19+M19+N19+O19</f>
        <v/>
      </c>
      <c r="Q19" s="55" t="n">
        <v>45807</v>
      </c>
      <c r="R19" s="56" t="n">
        <v>46462</v>
      </c>
      <c r="S19" s="51" t="n">
        <v>1407</v>
      </c>
      <c r="T19" s="52" t="n">
        <v>185</v>
      </c>
      <c r="U19" s="53" t="n">
        <v>950</v>
      </c>
      <c r="V19" s="54">
        <f>R19+S19+T19+U19</f>
        <v/>
      </c>
      <c r="W19" s="49" t="n">
        <v>89244</v>
      </c>
      <c r="X19" s="50" t="n">
        <v>91012</v>
      </c>
      <c r="Y19" s="51">
        <f>M19-S19</f>
        <v/>
      </c>
      <c r="Z19" s="52" t="n">
        <v>60</v>
      </c>
      <c r="AA19" s="54">
        <f>X19+Y19+Z19</f>
        <v/>
      </c>
      <c r="AK19" s="57" t="n">
        <v>134970</v>
      </c>
      <c r="AL19" s="50" t="n">
        <v>137623</v>
      </c>
      <c r="AM19" s="58" t="n">
        <v>6935</v>
      </c>
      <c r="AN19" s="59" t="n">
        <v>245</v>
      </c>
      <c r="AO19" s="53" t="n">
        <v>950</v>
      </c>
      <c r="AP19" s="54">
        <f>AL19+AM19+AN19+AO19</f>
        <v/>
      </c>
    </row>
    <row r="20">
      <c r="A20" s="0" t="inlineStr">
        <is>
          <t>内蒙古自治区</t>
        </is>
      </c>
      <c r="B20" s="94" t="n">
        <v>692.9377839760051</v>
      </c>
      <c r="C20" s="45" t="n">
        <v>704.323514794913</v>
      </c>
      <c r="D20" s="95" t="n">
        <v>705.2936881876783</v>
      </c>
      <c r="E20" s="45">
        <f>(C20-B20)+C20</f>
        <v/>
      </c>
      <c r="F20" s="47">
        <f>(C20-D20)/C20</f>
        <v/>
      </c>
      <c r="G20" s="95" t="n"/>
      <c r="I20" s="48" t="n"/>
      <c r="J20" s="95" t="n"/>
      <c r="K20" s="49" t="n">
        <v>82015</v>
      </c>
      <c r="L20" s="50" t="n">
        <v>83455</v>
      </c>
      <c r="M20" s="51" t="n">
        <v>1649</v>
      </c>
      <c r="N20" s="52" t="n">
        <v>474</v>
      </c>
      <c r="O20" s="53" t="n">
        <v>422</v>
      </c>
      <c r="P20" s="54">
        <f>L20+M20+N20+O20</f>
        <v/>
      </c>
      <c r="Q20" s="55" t="n">
        <v>23963</v>
      </c>
      <c r="R20" s="56" t="n">
        <v>24276</v>
      </c>
      <c r="S20" s="51" t="n">
        <v>552</v>
      </c>
      <c r="T20" s="52" t="n">
        <v>450</v>
      </c>
      <c r="U20" s="53" t="n">
        <v>422</v>
      </c>
      <c r="V20" s="54">
        <f>R20+S20+T20+U20</f>
        <v/>
      </c>
      <c r="W20" s="49" t="n">
        <v>58052</v>
      </c>
      <c r="X20" s="50" t="n">
        <v>59177</v>
      </c>
      <c r="Y20" s="51">
        <f>M20-S20</f>
        <v/>
      </c>
      <c r="Z20" s="52" t="n">
        <v>24</v>
      </c>
      <c r="AA20" s="54">
        <f>X20+Y20+Z20</f>
        <v/>
      </c>
      <c r="AK20" s="57" t="n">
        <v>81960</v>
      </c>
      <c r="AL20" s="50" t="n">
        <v>84255</v>
      </c>
      <c r="AM20" s="58" t="n">
        <v>1649</v>
      </c>
      <c r="AN20" s="59" t="n">
        <v>474</v>
      </c>
      <c r="AO20" s="53" t="n">
        <v>422</v>
      </c>
      <c r="AP20" s="54">
        <f>AL20+AM20+AN20+AO20</f>
        <v/>
      </c>
    </row>
    <row r="21">
      <c r="A21" s="0" t="inlineStr">
        <is>
          <t>宁夏回族自治区</t>
        </is>
      </c>
      <c r="B21" s="94" t="n">
        <v>248.2121800987668</v>
      </c>
      <c r="C21" s="45" t="n">
        <v>251.9964957997</v>
      </c>
      <c r="D21" s="95" t="n">
        <v>252.0530511300727</v>
      </c>
      <c r="E21" s="45">
        <f>(C21-B21)+C21</f>
        <v/>
      </c>
      <c r="F21" s="47">
        <f>(C21-D21)/C21</f>
        <v/>
      </c>
      <c r="G21" s="95" t="n"/>
      <c r="I21" s="48" t="n"/>
      <c r="J21" s="95" t="n"/>
      <c r="K21" s="61" t="n">
        <v>23656</v>
      </c>
      <c r="L21" s="56" t="n">
        <v>23961</v>
      </c>
      <c r="M21" s="51" t="n">
        <v>637</v>
      </c>
      <c r="N21" s="52" t="n">
        <v>356</v>
      </c>
      <c r="O21" s="53" t="n">
        <v>197</v>
      </c>
      <c r="P21" s="54">
        <f>L21+M21+N21+O21</f>
        <v/>
      </c>
      <c r="Q21" s="55" t="n">
        <v>9806</v>
      </c>
      <c r="R21" s="56" t="n">
        <v>9923</v>
      </c>
      <c r="S21" s="51" t="n">
        <v>298</v>
      </c>
      <c r="T21" s="52" t="n">
        <v>331</v>
      </c>
      <c r="U21" s="53" t="n">
        <v>197</v>
      </c>
      <c r="V21" s="54">
        <f>R21+S21+T21+U21</f>
        <v/>
      </c>
      <c r="W21" s="49" t="n">
        <v>13850</v>
      </c>
      <c r="X21" s="50" t="n">
        <v>14027</v>
      </c>
      <c r="Y21" s="51">
        <f>M21-S21</f>
        <v/>
      </c>
      <c r="Z21" s="52" t="n">
        <v>25</v>
      </c>
      <c r="AA21" s="54">
        <f>X21+Y21+Z21</f>
        <v/>
      </c>
      <c r="AK21" s="61" t="n">
        <v>23641</v>
      </c>
      <c r="AL21" s="56" t="n">
        <v>23952</v>
      </c>
      <c r="AM21" s="58" t="n">
        <v>637</v>
      </c>
      <c r="AN21" s="59" t="n">
        <v>356</v>
      </c>
      <c r="AO21" s="53" t="n">
        <v>197</v>
      </c>
      <c r="AP21" s="54">
        <f>AL21+AM21+AN21+AO21</f>
        <v/>
      </c>
    </row>
    <row r="22">
      <c r="A22" s="0" t="inlineStr">
        <is>
          <t>青海省</t>
        </is>
      </c>
      <c r="B22" s="94" t="n">
        <v>135.7918965036275</v>
      </c>
      <c r="C22" s="45" t="n">
        <v>138.0430403374246</v>
      </c>
      <c r="D22" s="95" t="n">
        <v>138.0430403374246</v>
      </c>
      <c r="E22" s="45">
        <f>(C22-B22)+C22</f>
        <v/>
      </c>
      <c r="F22" s="47">
        <f>(C22-D22)/C22</f>
        <v/>
      </c>
      <c r="G22" s="95" t="n"/>
      <c r="I22" s="48" t="n"/>
      <c r="J22" s="95" t="n"/>
      <c r="K22" s="49" t="n">
        <v>11747</v>
      </c>
      <c r="L22" s="50" t="n">
        <v>11899</v>
      </c>
      <c r="M22" s="51" t="n">
        <v>177</v>
      </c>
      <c r="N22" s="52" t="n">
        <v>110</v>
      </c>
      <c r="O22" s="53" t="n">
        <v>118</v>
      </c>
      <c r="P22" s="54">
        <f>L22+M22+N22+O22</f>
        <v/>
      </c>
      <c r="Q22" s="55" t="n">
        <v>4514</v>
      </c>
      <c r="R22" s="56" t="n">
        <v>4564</v>
      </c>
      <c r="S22" s="51" t="n">
        <v>74</v>
      </c>
      <c r="T22" s="52" t="n">
        <v>104</v>
      </c>
      <c r="U22" s="53" t="n">
        <v>118</v>
      </c>
      <c r="V22" s="54">
        <f>R22+S22+T22+U22</f>
        <v/>
      </c>
      <c r="W22" s="49" t="n">
        <v>7233</v>
      </c>
      <c r="X22" s="50" t="n">
        <v>7329</v>
      </c>
      <c r="Y22" s="51">
        <f>M22-S22</f>
        <v/>
      </c>
      <c r="Z22" s="52" t="n">
        <v>6</v>
      </c>
      <c r="AA22" s="54">
        <f>X22+Y22+Z22</f>
        <v/>
      </c>
      <c r="AK22" s="57" t="n">
        <v>11729</v>
      </c>
      <c r="AL22" s="50" t="n">
        <v>11880</v>
      </c>
      <c r="AM22" s="58" t="n">
        <v>177</v>
      </c>
      <c r="AN22" s="59" t="n">
        <v>110</v>
      </c>
      <c r="AO22" s="53" t="n">
        <v>118</v>
      </c>
      <c r="AP22" s="54">
        <f>AL22+AM22+AN22+AO22</f>
        <v/>
      </c>
    </row>
    <row r="23">
      <c r="A23" s="0" t="inlineStr">
        <is>
          <t>山东省</t>
        </is>
      </c>
      <c r="B23" s="94" t="n">
        <v>3860.438672402298</v>
      </c>
      <c r="C23" s="45" t="n">
        <v>3918.403002350532</v>
      </c>
      <c r="D23" s="95" t="n">
        <v>3920.977698362194</v>
      </c>
      <c r="E23" s="45">
        <f>(C23-B23)+C23</f>
        <v/>
      </c>
      <c r="F23" s="47">
        <f>(C23-D23)/C23</f>
        <v/>
      </c>
      <c r="G23" s="95" t="n"/>
      <c r="I23" s="48" t="n"/>
      <c r="J23" s="95" t="n"/>
      <c r="K23" s="49" t="n">
        <v>416242</v>
      </c>
      <c r="L23" s="50" t="n">
        <v>421039</v>
      </c>
      <c r="M23" s="51" t="n">
        <v>19714</v>
      </c>
      <c r="N23" s="52" t="n">
        <v>1671</v>
      </c>
      <c r="O23" s="53" t="n">
        <v>2487</v>
      </c>
      <c r="P23" s="54">
        <f>L23+M23+N23+O23</f>
        <v/>
      </c>
      <c r="Q23" s="55" t="n">
        <v>172189</v>
      </c>
      <c r="R23" s="56" t="n">
        <v>174191</v>
      </c>
      <c r="S23" s="51" t="n">
        <v>6150</v>
      </c>
      <c r="T23" s="52" t="n">
        <v>1616</v>
      </c>
      <c r="U23" s="53" t="n">
        <v>2487</v>
      </c>
      <c r="V23" s="54">
        <f>R23+S23+T23+U23</f>
        <v/>
      </c>
      <c r="W23" s="49" t="n">
        <v>244053</v>
      </c>
      <c r="X23" s="50" t="n">
        <v>246720</v>
      </c>
      <c r="Y23" s="51">
        <f>M23-S23</f>
        <v/>
      </c>
      <c r="Z23" s="52" t="n">
        <v>55</v>
      </c>
      <c r="AA23" s="54">
        <f>X23+Y23+Z23</f>
        <v/>
      </c>
      <c r="AK23" s="57" t="n">
        <v>416109</v>
      </c>
      <c r="AL23" s="50" t="n">
        <v>420885</v>
      </c>
      <c r="AM23" s="58" t="n">
        <v>19714</v>
      </c>
      <c r="AN23" s="59" t="n">
        <v>1671</v>
      </c>
      <c r="AO23" s="53" t="n">
        <v>2487</v>
      </c>
      <c r="AP23" s="54">
        <f>AL23+AM23+AN23+AO23</f>
        <v/>
      </c>
    </row>
    <row r="24">
      <c r="A24" s="0" t="inlineStr">
        <is>
          <t>山西省</t>
        </is>
      </c>
      <c r="B24" s="94" t="n">
        <v>931.6293638555816</v>
      </c>
      <c r="C24" s="45" t="n">
        <v>945.9198555455067</v>
      </c>
      <c r="D24" s="95" t="n">
        <v>945.9198555455067</v>
      </c>
      <c r="E24" s="45">
        <f>(C24-B24)+C24</f>
        <v/>
      </c>
      <c r="F24" s="47">
        <f>(C24-D24)/C24</f>
        <v/>
      </c>
      <c r="G24" s="95" t="n"/>
      <c r="I24" s="48" t="n"/>
      <c r="J24" s="95" t="n"/>
      <c r="K24" s="49" t="n">
        <v>101856</v>
      </c>
      <c r="L24" s="50" t="n">
        <v>103148</v>
      </c>
      <c r="M24" s="51" t="n">
        <v>3315</v>
      </c>
      <c r="N24" s="52" t="n">
        <v>262</v>
      </c>
      <c r="O24" s="53" t="n">
        <v>694</v>
      </c>
      <c r="P24" s="54">
        <f>L24+M24+N24+O24</f>
        <v/>
      </c>
      <c r="Q24" s="55" t="n">
        <v>39451</v>
      </c>
      <c r="R24" s="56" t="n">
        <v>39959</v>
      </c>
      <c r="S24" s="51" t="n">
        <v>1032</v>
      </c>
      <c r="T24" s="52" t="n">
        <v>243</v>
      </c>
      <c r="U24" s="53" t="n">
        <v>694</v>
      </c>
      <c r="V24" s="54">
        <f>R24+S24+T24+U24</f>
        <v/>
      </c>
      <c r="W24" s="49" t="n">
        <v>62405</v>
      </c>
      <c r="X24" s="50" t="n">
        <v>63174</v>
      </c>
      <c r="Y24" s="51">
        <f>M24-S24</f>
        <v/>
      </c>
      <c r="Z24" s="52" t="n">
        <v>19</v>
      </c>
      <c r="AA24" s="54">
        <f>X24+Y24+Z24</f>
        <v/>
      </c>
      <c r="AK24" s="57" t="n">
        <v>101809</v>
      </c>
      <c r="AL24" s="50" t="n">
        <v>103353</v>
      </c>
      <c r="AM24" s="58" t="n">
        <v>3315</v>
      </c>
      <c r="AN24" s="59" t="n">
        <v>262</v>
      </c>
      <c r="AO24" s="53" t="n">
        <v>694</v>
      </c>
      <c r="AP24" s="54">
        <f>AL24+AM24+AN24+AO24</f>
        <v/>
      </c>
    </row>
    <row r="25">
      <c r="A25" s="0" t="inlineStr">
        <is>
          <t>陕西省</t>
        </is>
      </c>
      <c r="B25" s="94" t="n">
        <v>1188.302099948036</v>
      </c>
      <c r="C25" s="45" t="n">
        <v>1206.373038146343</v>
      </c>
      <c r="D25" s="95" t="n">
        <v>1208.481365749062</v>
      </c>
      <c r="E25" s="45">
        <f>(C25-B25)+C25</f>
        <v/>
      </c>
      <c r="F25" s="47">
        <f>(C25-D25)/C25</f>
        <v/>
      </c>
      <c r="G25" s="95" t="n"/>
      <c r="I25" s="48" t="n"/>
      <c r="J25" s="95" t="n"/>
      <c r="K25" s="49" t="n">
        <v>151963</v>
      </c>
      <c r="L25" s="50" t="n">
        <v>153237</v>
      </c>
      <c r="M25" s="51" t="n">
        <v>4600</v>
      </c>
      <c r="N25" s="52" t="n">
        <v>453</v>
      </c>
      <c r="O25" s="53" t="n">
        <v>760</v>
      </c>
      <c r="P25" s="54">
        <f>L25+M25+N25+O25</f>
        <v/>
      </c>
      <c r="Q25" s="55" t="n">
        <v>41898</v>
      </c>
      <c r="R25" s="56" t="n">
        <v>42502</v>
      </c>
      <c r="S25" s="51" t="n">
        <v>1315</v>
      </c>
      <c r="T25" s="52" t="n">
        <v>433</v>
      </c>
      <c r="U25" s="53" t="n">
        <v>760</v>
      </c>
      <c r="V25" s="54">
        <f>R25+S25+T25+U25</f>
        <v/>
      </c>
      <c r="W25" s="49" t="n">
        <v>110065</v>
      </c>
      <c r="X25" s="50" t="n">
        <v>110735</v>
      </c>
      <c r="Y25" s="51">
        <f>M25-S25</f>
        <v/>
      </c>
      <c r="Z25" s="52" t="n">
        <v>20</v>
      </c>
      <c r="AA25" s="54">
        <f>X25+Y25+Z25</f>
        <v/>
      </c>
      <c r="AK25" s="57" t="n">
        <v>151923</v>
      </c>
      <c r="AL25" s="50" t="n">
        <v>153282</v>
      </c>
      <c r="AM25" s="58" t="n">
        <v>4600</v>
      </c>
      <c r="AN25" s="59" t="n">
        <v>453</v>
      </c>
      <c r="AO25" s="53" t="n">
        <v>760</v>
      </c>
      <c r="AP25" s="54">
        <f>AL25+AM25+AN25+AO25</f>
        <v/>
      </c>
    </row>
    <row r="26">
      <c r="A26" s="0" t="inlineStr">
        <is>
          <t>上海市</t>
        </is>
      </c>
      <c r="B26" s="94" t="n">
        <v>10103.02659837152</v>
      </c>
      <c r="C26" s="45" t="n">
        <v>10246.6188788325</v>
      </c>
      <c r="D26" s="95" t="n">
        <v>10243.71972888192</v>
      </c>
      <c r="E26" s="45">
        <f>(C26-B26)+C26</f>
        <v/>
      </c>
      <c r="F26" s="47">
        <f>(C26-D26)/C26</f>
        <v/>
      </c>
      <c r="G26" s="95" t="n"/>
      <c r="I26" s="48" t="n"/>
      <c r="J26" s="95" t="n"/>
      <c r="K26" s="49" t="n">
        <v>171389</v>
      </c>
      <c r="L26" s="50" t="n">
        <v>173274</v>
      </c>
      <c r="M26" s="51" t="n">
        <v>5406</v>
      </c>
      <c r="N26" s="52" t="n">
        <v>49</v>
      </c>
      <c r="O26" s="53" t="n">
        <v>3530</v>
      </c>
      <c r="P26" s="54">
        <f>L26+M26+N26+O26</f>
        <v/>
      </c>
      <c r="Q26" s="55" t="n">
        <v>157418</v>
      </c>
      <c r="R26" s="56" t="n">
        <v>159138</v>
      </c>
      <c r="S26" s="51" t="n">
        <v>5013</v>
      </c>
      <c r="T26" s="52" t="n">
        <v>40</v>
      </c>
      <c r="U26" s="53" t="n">
        <v>3530</v>
      </c>
      <c r="V26" s="54">
        <f>R26+S26+T26+U26</f>
        <v/>
      </c>
      <c r="W26" s="49" t="n">
        <v>13971</v>
      </c>
      <c r="X26" s="50" t="n">
        <v>14131</v>
      </c>
      <c r="Y26" s="51">
        <f>M26-S26</f>
        <v/>
      </c>
      <c r="Z26" s="52" t="n">
        <v>9</v>
      </c>
      <c r="AA26" s="54">
        <f>X26+Y26+Z26</f>
        <v/>
      </c>
      <c r="AK26" s="57" t="n">
        <v>171215</v>
      </c>
      <c r="AL26" s="50" t="n">
        <v>173262</v>
      </c>
      <c r="AM26" s="58" t="n">
        <v>5406</v>
      </c>
      <c r="AN26" s="59" t="n">
        <v>49</v>
      </c>
      <c r="AO26" s="53" t="n">
        <v>3530</v>
      </c>
      <c r="AP26" s="54">
        <f>AL26+AM26+AN26+AO26</f>
        <v/>
      </c>
    </row>
    <row r="27">
      <c r="A27" s="0" t="inlineStr">
        <is>
          <t>四川省</t>
        </is>
      </c>
      <c r="B27" s="94" t="n">
        <v>4744.091934401206</v>
      </c>
      <c r="C27" s="45" t="n">
        <v>4803.256706477158</v>
      </c>
      <c r="D27" s="95" t="n">
        <v>4805.193594434932</v>
      </c>
      <c r="E27" s="45">
        <f>(C27-B27)+C27</f>
        <v/>
      </c>
      <c r="F27" s="47">
        <f>(C27-D27)/C27</f>
        <v/>
      </c>
      <c r="G27" s="95" t="n"/>
      <c r="I27" s="48" t="n"/>
      <c r="J27" s="95" t="n"/>
      <c r="K27" s="49" t="n">
        <v>293159</v>
      </c>
      <c r="L27" s="50" t="n">
        <v>296774</v>
      </c>
      <c r="M27" s="51" t="n">
        <v>8109</v>
      </c>
      <c r="N27" s="52" t="n">
        <v>156</v>
      </c>
      <c r="O27" s="53" t="n">
        <v>2930</v>
      </c>
      <c r="P27" s="54">
        <f>L27+M27+N27+O27</f>
        <v/>
      </c>
      <c r="Q27" s="55" t="n">
        <v>151680</v>
      </c>
      <c r="R27" s="56" t="n">
        <v>153628</v>
      </c>
      <c r="S27" s="51" t="n">
        <v>3332</v>
      </c>
      <c r="T27" s="52" t="n">
        <v>96</v>
      </c>
      <c r="U27" s="53" t="n">
        <v>2930</v>
      </c>
      <c r="V27" s="54">
        <f>R27+S27+T27+U27</f>
        <v/>
      </c>
      <c r="W27" s="49" t="n">
        <v>141479</v>
      </c>
      <c r="X27" s="50" t="n">
        <v>143002</v>
      </c>
      <c r="Y27" s="51">
        <f>M27-S27</f>
        <v/>
      </c>
      <c r="Z27" s="52" t="n">
        <v>60</v>
      </c>
      <c r="AA27" s="54">
        <f>X27+Y27+Z27</f>
        <v/>
      </c>
      <c r="AK27" s="57" t="n">
        <v>292993</v>
      </c>
      <c r="AL27" s="50" t="n">
        <v>296698</v>
      </c>
      <c r="AM27" s="58" t="n">
        <v>8109</v>
      </c>
      <c r="AN27" s="59" t="n">
        <v>156</v>
      </c>
      <c r="AO27" s="53" t="n">
        <v>2930</v>
      </c>
      <c r="AP27" s="54">
        <f>AL27+AM27+AN27+AO27</f>
        <v/>
      </c>
    </row>
    <row r="28">
      <c r="A28" s="0" t="inlineStr">
        <is>
          <t>天津市</t>
        </is>
      </c>
      <c r="B28" s="94" t="n">
        <v>1530.946205975675</v>
      </c>
      <c r="C28" s="45" t="n">
        <v>1546.338676017546</v>
      </c>
      <c r="D28" s="95" t="n">
        <v>1546.358436225275</v>
      </c>
      <c r="E28" s="45">
        <f>(C28-B28)+C28</f>
        <v/>
      </c>
      <c r="F28" s="47">
        <f>(C28-D28)/C28</f>
        <v/>
      </c>
      <c r="G28" s="95" t="n"/>
      <c r="I28" s="48" t="n"/>
      <c r="J28" s="95" t="n"/>
      <c r="K28" s="49" t="n">
        <v>46793</v>
      </c>
      <c r="L28" s="50" t="n">
        <v>47416</v>
      </c>
      <c r="M28" s="51" t="n">
        <v>1744</v>
      </c>
      <c r="N28" s="52" t="n">
        <v>338</v>
      </c>
      <c r="O28" s="53" t="n">
        <v>573</v>
      </c>
      <c r="P28" s="54">
        <f>L28+M28+N28+O28</f>
        <v/>
      </c>
      <c r="Q28" s="55" t="n">
        <v>28088</v>
      </c>
      <c r="R28" s="56" t="n">
        <v>28400</v>
      </c>
      <c r="S28" s="51" t="n">
        <v>818</v>
      </c>
      <c r="T28" s="52" t="n">
        <v>332</v>
      </c>
      <c r="U28" s="53" t="n">
        <v>573</v>
      </c>
      <c r="V28" s="54">
        <f>R28+S28+T28+U28</f>
        <v/>
      </c>
      <c r="W28" s="49" t="n">
        <v>18705</v>
      </c>
      <c r="X28" s="50" t="n">
        <v>19016</v>
      </c>
      <c r="Y28" s="51">
        <f>M28-S28</f>
        <v/>
      </c>
      <c r="Z28" s="52" t="n">
        <v>6</v>
      </c>
      <c r="AA28" s="54">
        <f>X28+Y28+Z28</f>
        <v/>
      </c>
      <c r="AK28" s="57" t="n">
        <v>46761</v>
      </c>
      <c r="AL28" s="50" t="n">
        <v>47410</v>
      </c>
      <c r="AM28" s="58" t="n">
        <v>1744</v>
      </c>
      <c r="AN28" s="59" t="n">
        <v>338</v>
      </c>
      <c r="AO28" s="53" t="n">
        <v>573</v>
      </c>
      <c r="AP28" s="54">
        <f>AL28+AM28+AN28+AO28</f>
        <v/>
      </c>
    </row>
    <row r="29">
      <c r="A29" s="0" t="inlineStr">
        <is>
          <t>西藏自治区</t>
        </is>
      </c>
      <c r="B29" s="94" t="n">
        <v>51.62297131840753</v>
      </c>
      <c r="C29" s="45" t="n">
        <v>52.4036839089114</v>
      </c>
      <c r="D29" s="95" t="n">
        <v>52.4036839089114</v>
      </c>
      <c r="E29" s="45">
        <f>(C29-B29)+C29</f>
        <v/>
      </c>
      <c r="F29" s="47">
        <f>(C29-D29)/C29</f>
        <v/>
      </c>
      <c r="G29" s="95" t="n"/>
      <c r="I29" s="48" t="n"/>
      <c r="J29" s="95" t="n"/>
      <c r="K29" s="49" t="n">
        <v>3535</v>
      </c>
      <c r="L29" s="50" t="n">
        <v>3579</v>
      </c>
      <c r="M29" s="51" t="n">
        <v>23</v>
      </c>
      <c r="N29" s="52" t="n">
        <v>2</v>
      </c>
      <c r="O29" s="53" t="n">
        <v>41</v>
      </c>
      <c r="P29" s="54">
        <f>L29+M29+N29+O29</f>
        <v/>
      </c>
      <c r="Q29" s="55" t="n">
        <v>1315</v>
      </c>
      <c r="R29" s="56" t="n">
        <v>1329</v>
      </c>
      <c r="S29" s="51" t="n">
        <v>20</v>
      </c>
      <c r="T29" s="52" t="n">
        <v>1</v>
      </c>
      <c r="U29" s="53" t="n">
        <v>41</v>
      </c>
      <c r="V29" s="54">
        <f>R29+S29+T29+U29</f>
        <v/>
      </c>
      <c r="W29" s="49" t="n">
        <v>2220</v>
      </c>
      <c r="X29" s="50" t="n">
        <v>2252</v>
      </c>
      <c r="Y29" s="51">
        <f>M29-S29</f>
        <v/>
      </c>
      <c r="Z29" s="52" t="n">
        <v>1</v>
      </c>
      <c r="AA29" s="54">
        <f>X29+Y29+Z29</f>
        <v/>
      </c>
      <c r="AK29" s="57" t="n">
        <v>3529</v>
      </c>
      <c r="AL29" s="50" t="n">
        <v>3569</v>
      </c>
      <c r="AM29" s="58" t="n">
        <v>23</v>
      </c>
      <c r="AN29" s="59" t="n">
        <v>2</v>
      </c>
      <c r="AO29" s="53" t="n">
        <v>41</v>
      </c>
      <c r="AP29" s="54">
        <f>AL29+AM29+AN29+AO29</f>
        <v/>
      </c>
    </row>
    <row r="30">
      <c r="A30" s="0" t="inlineStr">
        <is>
          <t>新疆维吾尔自治区</t>
        </is>
      </c>
      <c r="B30" s="94" t="n">
        <v>930.1238510804385</v>
      </c>
      <c r="C30" s="45" t="n">
        <v>944.080651438065</v>
      </c>
      <c r="D30" s="95" t="n">
        <v>944.3272581090145</v>
      </c>
      <c r="E30" s="45">
        <f>(C30-B30)+C30</f>
        <v/>
      </c>
      <c r="F30" s="47">
        <f>(C30-D30)/C30</f>
        <v/>
      </c>
      <c r="G30" s="95" t="n"/>
      <c r="I30" s="48" t="n"/>
      <c r="J30" s="95" t="n"/>
      <c r="K30" s="49" t="n">
        <v>87379</v>
      </c>
      <c r="L30" s="50" t="n">
        <v>88426</v>
      </c>
      <c r="M30" s="51" t="n">
        <v>1024</v>
      </c>
      <c r="N30" s="52" t="n">
        <v>354</v>
      </c>
      <c r="O30" s="53" t="n">
        <v>554</v>
      </c>
      <c r="P30" s="54">
        <f>L30+M30+N30+O30</f>
        <v/>
      </c>
      <c r="Q30" s="55" t="n">
        <v>22477</v>
      </c>
      <c r="R30" s="56" t="n">
        <v>22758</v>
      </c>
      <c r="S30" s="51" t="n">
        <v>336</v>
      </c>
      <c r="T30" s="52" t="n">
        <v>325</v>
      </c>
      <c r="U30" s="53" t="n">
        <v>554</v>
      </c>
      <c r="V30" s="54">
        <f>R30+S30+T30+U30</f>
        <v/>
      </c>
      <c r="W30" s="49" t="n">
        <v>64902</v>
      </c>
      <c r="X30" s="50" t="n">
        <v>65650</v>
      </c>
      <c r="Y30" s="51">
        <f>M30-S30</f>
        <v/>
      </c>
      <c r="Z30" s="52" t="n">
        <v>29</v>
      </c>
      <c r="AA30" s="54">
        <f>X30+Y30+Z30</f>
        <v/>
      </c>
      <c r="AK30" s="57" t="n">
        <v>87341</v>
      </c>
      <c r="AL30" s="50" t="n">
        <v>88513</v>
      </c>
      <c r="AM30" s="58" t="n">
        <v>1024</v>
      </c>
      <c r="AN30" s="59" t="n">
        <v>354</v>
      </c>
      <c r="AO30" s="53" t="n">
        <v>554</v>
      </c>
      <c r="AP30" s="54">
        <f>AL30+AM30+AN30+AO30</f>
        <v/>
      </c>
    </row>
    <row r="31">
      <c r="A31" s="0" t="inlineStr">
        <is>
          <t>云南省</t>
        </is>
      </c>
      <c r="B31" s="94" t="n">
        <v>1816.523838195033</v>
      </c>
      <c r="C31" s="45" t="n">
        <v>1840.092710113458</v>
      </c>
      <c r="D31" s="95" t="n">
        <v>1840.240842287055</v>
      </c>
      <c r="E31" s="45">
        <f>(C31-B31)+C31</f>
        <v/>
      </c>
      <c r="F31" s="47">
        <f>(C31-D31)/C31</f>
        <v/>
      </c>
      <c r="G31" s="95" t="n"/>
      <c r="I31" s="48" t="n"/>
      <c r="J31" s="95" t="n"/>
      <c r="K31" s="49" t="n">
        <v>175176</v>
      </c>
      <c r="L31" s="50" t="n">
        <v>177504</v>
      </c>
      <c r="M31" s="51" t="n">
        <v>9121</v>
      </c>
      <c r="N31" s="52" t="n">
        <v>584</v>
      </c>
      <c r="O31" s="53" t="n">
        <v>988</v>
      </c>
      <c r="P31" s="54">
        <f>L31+M31+N31+O31</f>
        <v/>
      </c>
      <c r="Q31" s="55" t="n">
        <v>60372</v>
      </c>
      <c r="R31" s="56" t="n">
        <v>61113</v>
      </c>
      <c r="S31" s="51" t="n">
        <v>2596</v>
      </c>
      <c r="T31" s="52" t="n">
        <v>539</v>
      </c>
      <c r="U31" s="53" t="n">
        <v>988</v>
      </c>
      <c r="V31" s="54">
        <f>R31+S31+T31+U31</f>
        <v/>
      </c>
      <c r="W31" s="49" t="n">
        <v>114804</v>
      </c>
      <c r="X31" s="50" t="n">
        <v>116357</v>
      </c>
      <c r="Y31" s="51">
        <f>M31-S31</f>
        <v/>
      </c>
      <c r="Z31" s="52" t="n">
        <v>45</v>
      </c>
      <c r="AA31" s="54">
        <f>X31+Y31+Z31</f>
        <v/>
      </c>
      <c r="AK31" s="57" t="n">
        <v>175090</v>
      </c>
      <c r="AL31" s="50" t="n">
        <v>177674</v>
      </c>
      <c r="AM31" s="58" t="n">
        <v>9121</v>
      </c>
      <c r="AN31" s="59" t="n">
        <v>584</v>
      </c>
      <c r="AO31" s="53" t="n">
        <v>988</v>
      </c>
      <c r="AP31" s="54">
        <f>AL31+AM31+AN31+AO31</f>
        <v/>
      </c>
    </row>
    <row r="32">
      <c r="A32" s="0" t="inlineStr">
        <is>
          <t>浙江省</t>
        </is>
      </c>
      <c r="B32" s="94" t="n">
        <v>9037.919260305043</v>
      </c>
      <c r="C32" s="45" t="n">
        <v>9131.121506226453</v>
      </c>
      <c r="D32" s="95" t="n">
        <v>9138.310898381842</v>
      </c>
      <c r="E32" s="45">
        <f>(C32-B32)+C32</f>
        <v/>
      </c>
      <c r="F32" s="47">
        <f>(C32-D32)/C32</f>
        <v/>
      </c>
      <c r="G32" s="95" t="n"/>
      <c r="I32" s="48" t="n"/>
      <c r="J32" s="95" t="n"/>
      <c r="K32" s="49" t="n">
        <v>355118</v>
      </c>
      <c r="L32" s="50" t="n">
        <v>359706</v>
      </c>
      <c r="M32" s="51" t="n">
        <v>33072</v>
      </c>
      <c r="N32" s="52" t="n">
        <v>125</v>
      </c>
      <c r="O32" s="53" t="n">
        <v>3773</v>
      </c>
      <c r="P32" s="54">
        <f>L32+M32+N32+O32</f>
        <v/>
      </c>
      <c r="Q32" s="55" t="n">
        <v>184720</v>
      </c>
      <c r="R32" s="56" t="n">
        <v>187229</v>
      </c>
      <c r="S32" s="51" t="n">
        <v>9526</v>
      </c>
      <c r="T32" s="52" t="n">
        <v>69</v>
      </c>
      <c r="U32" s="53" t="n">
        <v>3773</v>
      </c>
      <c r="V32" s="54">
        <f>R32+S32+T32+U32</f>
        <v/>
      </c>
      <c r="W32" s="49" t="n">
        <v>170398</v>
      </c>
      <c r="X32" s="50" t="n">
        <v>172800</v>
      </c>
      <c r="Y32" s="51">
        <f>M32-S32</f>
        <v/>
      </c>
      <c r="Z32" s="52" t="n">
        <v>56</v>
      </c>
      <c r="AA32" s="54">
        <f>X32+Y32+Z32</f>
        <v/>
      </c>
      <c r="AK32" s="57" t="n">
        <v>354953</v>
      </c>
      <c r="AL32" s="50" t="n">
        <v>359813</v>
      </c>
      <c r="AM32" s="58" t="n">
        <v>33072</v>
      </c>
      <c r="AN32" s="59" t="n">
        <v>125</v>
      </c>
      <c r="AO32" s="53" t="n">
        <v>3773</v>
      </c>
      <c r="AP32" s="54">
        <f>AL32+AM32+AN32+AO32</f>
        <v/>
      </c>
    </row>
    <row r="33">
      <c r="A33" s="0" t="inlineStr">
        <is>
          <t>重庆市</t>
        </is>
      </c>
      <c r="B33" s="94" t="n">
        <v>2225.083343383665</v>
      </c>
      <c r="C33" s="45" t="n">
        <v>2252.848836955334</v>
      </c>
      <c r="D33" s="95" t="n">
        <v>2254.334785788706</v>
      </c>
      <c r="E33" s="45">
        <f>(C33-B33)+C33</f>
        <v/>
      </c>
      <c r="F33" s="47">
        <f>(C33-D33)/C33</f>
        <v/>
      </c>
      <c r="G33" s="95" t="n"/>
      <c r="I33" s="48" t="n"/>
      <c r="J33" s="95" t="n"/>
      <c r="K33" s="49" t="n">
        <v>107934</v>
      </c>
      <c r="L33" s="50" t="n">
        <v>109535</v>
      </c>
      <c r="M33" s="51" t="n">
        <v>3219</v>
      </c>
      <c r="N33" s="52" t="n">
        <v>410</v>
      </c>
      <c r="O33" s="53" t="n">
        <v>1176</v>
      </c>
      <c r="P33" s="54">
        <f>L33+M33+N33+O33</f>
        <v/>
      </c>
      <c r="Q33" s="55" t="n">
        <v>59414</v>
      </c>
      <c r="R33" s="56" t="n">
        <v>60193</v>
      </c>
      <c r="S33" s="51" t="n">
        <v>1617</v>
      </c>
      <c r="T33" s="52" t="n">
        <v>395</v>
      </c>
      <c r="U33" s="53" t="n">
        <v>1176</v>
      </c>
      <c r="V33" s="54">
        <f>R33+S33+T33+U33</f>
        <v/>
      </c>
      <c r="W33" s="49" t="n">
        <v>48520</v>
      </c>
      <c r="X33" s="50" t="n">
        <v>49342</v>
      </c>
      <c r="Y33" s="51">
        <f>M33-S33</f>
        <v/>
      </c>
      <c r="Z33" s="52" t="n">
        <v>15</v>
      </c>
      <c r="AA33" s="54">
        <f>X33+Y33+Z33</f>
        <v/>
      </c>
      <c r="AK33" s="57" t="n">
        <v>107871</v>
      </c>
      <c r="AL33" s="50" t="n">
        <v>109469</v>
      </c>
      <c r="AM33" s="58" t="n">
        <v>3219</v>
      </c>
      <c r="AN33" s="59" t="n">
        <v>410</v>
      </c>
      <c r="AO33" s="53" t="n">
        <v>1176</v>
      </c>
      <c r="AP33" s="54">
        <f>AL33+AM33+AN33+AO33</f>
        <v/>
      </c>
    </row>
    <row r="34">
      <c r="A34" s="62" t="inlineStr">
        <is>
          <t>全国</t>
        </is>
      </c>
      <c r="B34" s="96" t="n">
        <v>5820137.990541538</v>
      </c>
      <c r="C34" s="64" t="n">
        <v>6070311.907479533</v>
      </c>
      <c r="D34" s="97" t="n">
        <v>6085648.5713554</v>
      </c>
      <c r="E34" s="64">
        <f>(C34-B34)+C34</f>
        <v/>
      </c>
      <c r="F34" s="66">
        <f>(C34-D34)/C34</f>
        <v/>
      </c>
      <c r="G34" s="98" t="n"/>
      <c r="H34" s="62" t="n"/>
      <c r="I34" s="68" t="n"/>
      <c r="J34" s="97" t="n"/>
      <c r="K34" s="69" t="n">
        <v>53537730</v>
      </c>
      <c r="L34" s="70" t="n">
        <v>54560602</v>
      </c>
      <c r="M34" s="70" t="n">
        <v>351416</v>
      </c>
      <c r="N34" s="70" t="n">
        <v>16030</v>
      </c>
      <c r="O34" s="70" t="n">
        <v>55275</v>
      </c>
      <c r="P34" s="70">
        <f>L34+M34+N34+O34</f>
        <v/>
      </c>
      <c r="Q34" s="71" t="n">
        <v>2942991</v>
      </c>
      <c r="R34" s="72" t="n">
        <v>2980324</v>
      </c>
      <c r="S34" s="70" t="n">
        <v>106402</v>
      </c>
      <c r="T34" s="70" t="n">
        <v>14514</v>
      </c>
      <c r="U34" s="70" t="n">
        <v>55275</v>
      </c>
      <c r="V34" s="70">
        <f>R34+S34+T34+U34</f>
        <v/>
      </c>
      <c r="W34" s="71" t="n">
        <v>3965268</v>
      </c>
      <c r="X34" s="70" t="n">
        <v>4018231</v>
      </c>
      <c r="Y34" s="70" t="n">
        <v>240028</v>
      </c>
      <c r="Z34" s="70" t="n">
        <v>1244</v>
      </c>
      <c r="AA34" s="73">
        <f>X34+Y34+Z34</f>
        <v/>
      </c>
      <c r="AB34" s="74" t="n">
        <v>46629471</v>
      </c>
      <c r="AC34" s="75" t="n">
        <v>47561359</v>
      </c>
      <c r="AD34" s="75" t="n">
        <v>4986</v>
      </c>
      <c r="AE34" s="75" t="n">
        <v>272</v>
      </c>
      <c r="AF34" s="75">
        <f>AC34+AD34+AE34</f>
        <v/>
      </c>
      <c r="AG34" s="62" t="n"/>
      <c r="AH34" s="62" t="n"/>
      <c r="AI34" s="62" t="n"/>
      <c r="AJ34" s="62" t="n"/>
      <c r="AK34" s="76" t="n">
        <v>6904366</v>
      </c>
      <c r="AL34" s="70" t="n">
        <v>6995165</v>
      </c>
      <c r="AM34" s="75" t="n">
        <v>346430</v>
      </c>
      <c r="AN34" s="75" t="n">
        <v>15758</v>
      </c>
      <c r="AO34" s="70" t="n">
        <v>55275</v>
      </c>
      <c r="AP34" s="73">
        <f>AL34+AM34+AN34+AO34</f>
        <v/>
      </c>
    </row>
    <row r="35">
      <c r="A35" s="77" t="inlineStr">
        <is>
          <t>大连</t>
        </is>
      </c>
      <c r="B35" s="99" t="n"/>
      <c r="C35" s="79" t="n">
        <v>470.2658364435624</v>
      </c>
      <c r="D35" s="100" t="n">
        <v>0</v>
      </c>
      <c r="E35" s="79" t="n"/>
      <c r="F35" s="81" t="n">
        <v>1</v>
      </c>
      <c r="G35" s="82" t="n"/>
      <c r="H35" s="82" t="n"/>
      <c r="I35" s="77" t="n"/>
      <c r="J35" s="77" t="n"/>
      <c r="K35" s="83" t="n"/>
      <c r="L35" s="84" t="n">
        <v>25287</v>
      </c>
      <c r="M35" s="84" t="n">
        <v>1198</v>
      </c>
      <c r="N35" s="84" t="n"/>
      <c r="O35" s="84" t="n">
        <v>198</v>
      </c>
      <c r="P35" s="84" t="n">
        <v>26683</v>
      </c>
      <c r="Q35" s="83" t="n"/>
      <c r="R35" s="84" t="n">
        <v>11235</v>
      </c>
      <c r="S35" s="84" t="n">
        <v>415</v>
      </c>
      <c r="T35" s="84" t="n"/>
      <c r="U35" s="84" t="n">
        <v>198</v>
      </c>
      <c r="V35" s="84" t="n">
        <v>11848</v>
      </c>
      <c r="W35" s="83" t="n"/>
      <c r="X35" s="84" t="n">
        <v>14052</v>
      </c>
      <c r="Y35" s="84" t="n">
        <v>783</v>
      </c>
      <c r="Z35" s="84" t="n"/>
      <c r="AA35" s="85" t="n">
        <v>14835</v>
      </c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3" t="n"/>
      <c r="AL35" s="84" t="n">
        <v>25273</v>
      </c>
      <c r="AM35" s="84" t="n">
        <v>1198</v>
      </c>
      <c r="AN35" s="84" t="n"/>
      <c r="AO35" s="84" t="n">
        <v>198</v>
      </c>
      <c r="AP35" s="85" t="n">
        <v>26669</v>
      </c>
    </row>
    <row r="36">
      <c r="A36" s="77" t="inlineStr">
        <is>
          <t>厦门202209-当月</t>
        </is>
      </c>
      <c r="B36" s="99" t="n"/>
      <c r="C36" s="79" t="n">
        <v>893.2333921490965</v>
      </c>
      <c r="D36" s="100" t="n">
        <v>0</v>
      </c>
      <c r="E36" s="79" t="n"/>
      <c r="F36" s="81" t="n">
        <v>1</v>
      </c>
      <c r="G36" s="82" t="n"/>
      <c r="H36" s="82" t="n"/>
      <c r="I36" s="77" t="n"/>
      <c r="J36" s="77" t="n"/>
      <c r="K36" s="83" t="n"/>
      <c r="L36" s="84" t="n">
        <v>60341</v>
      </c>
      <c r="M36" s="84" t="n">
        <v>2862</v>
      </c>
      <c r="N36" s="84" t="n"/>
      <c r="O36" s="84" t="n">
        <v>781</v>
      </c>
      <c r="P36" s="84" t="n">
        <v>63984</v>
      </c>
      <c r="Q36" s="83" t="n"/>
      <c r="R36" s="84" t="n">
        <v>36892</v>
      </c>
      <c r="S36" s="84" t="n">
        <v>1767</v>
      </c>
      <c r="T36" s="84" t="n"/>
      <c r="U36" s="84" t="n">
        <v>781</v>
      </c>
      <c r="V36" s="84" t="n">
        <v>39440</v>
      </c>
      <c r="W36" s="83" t="n"/>
      <c r="X36" s="84" t="n">
        <v>23449</v>
      </c>
      <c r="Y36" s="84" t="n">
        <v>1095</v>
      </c>
      <c r="Z36" s="84" t="n"/>
      <c r="AA36" s="85" t="n">
        <v>24544</v>
      </c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3" t="n"/>
      <c r="AL36" s="84" t="n">
        <v>60315</v>
      </c>
      <c r="AM36" s="84" t="n">
        <v>2862</v>
      </c>
      <c r="AN36" s="84" t="n"/>
      <c r="AO36" s="84" t="n">
        <v>781</v>
      </c>
      <c r="AP36" s="85" t="n">
        <v>63958</v>
      </c>
    </row>
    <row r="37">
      <c r="A37" s="77" t="inlineStr">
        <is>
          <t>青岛</t>
        </is>
      </c>
      <c r="B37" s="99" t="n"/>
      <c r="C37" s="79" t="n">
        <v>618.8361447741083</v>
      </c>
      <c r="D37" s="100" t="n">
        <v>0</v>
      </c>
      <c r="E37" s="79" t="n"/>
      <c r="F37" s="81" t="n">
        <v>1</v>
      </c>
      <c r="G37" s="82" t="n"/>
      <c r="H37" s="82" t="n"/>
      <c r="I37" s="77" t="n"/>
      <c r="J37" s="77" t="n"/>
      <c r="K37" s="83" t="n"/>
      <c r="L37" s="84" t="n">
        <v>58127</v>
      </c>
      <c r="M37" s="84" t="n">
        <v>2555</v>
      </c>
      <c r="N37" s="84" t="n"/>
      <c r="O37" s="84" t="n">
        <v>501</v>
      </c>
      <c r="P37" s="84" t="n">
        <v>61183</v>
      </c>
      <c r="Q37" s="83" t="n"/>
      <c r="R37" s="84" t="n">
        <v>30818</v>
      </c>
      <c r="S37" s="84" t="n">
        <v>1115</v>
      </c>
      <c r="T37" s="84" t="n"/>
      <c r="U37" s="84" t="n">
        <v>501</v>
      </c>
      <c r="V37" s="84" t="n">
        <v>32434</v>
      </c>
      <c r="W37" s="83" t="n"/>
      <c r="X37" s="84" t="n">
        <v>27309</v>
      </c>
      <c r="Y37" s="84" t="n">
        <v>1440</v>
      </c>
      <c r="Z37" s="84" t="n"/>
      <c r="AA37" s="85" t="n">
        <v>28749</v>
      </c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3" t="n"/>
      <c r="AL37" s="84" t="n">
        <v>58108</v>
      </c>
      <c r="AM37" s="84" t="n">
        <v>2555</v>
      </c>
      <c r="AN37" s="84" t="n"/>
      <c r="AO37" s="84" t="n">
        <v>501</v>
      </c>
      <c r="AP37" s="85" t="n">
        <v>61164</v>
      </c>
    </row>
    <row r="38" ht="17" customHeight="1" s="93" thickBot="1">
      <c r="A38" s="77" t="inlineStr">
        <is>
          <t>宁波</t>
        </is>
      </c>
      <c r="B38" s="99" t="n"/>
      <c r="C38" s="79" t="n">
        <v>397.0666483819175</v>
      </c>
      <c r="D38" s="100" t="n">
        <v>0</v>
      </c>
      <c r="E38" s="79" t="n"/>
      <c r="F38" s="81" t="n">
        <v>1</v>
      </c>
      <c r="G38" s="82" t="n"/>
      <c r="H38" s="82" t="n"/>
      <c r="I38" s="77" t="n"/>
      <c r="J38" s="77" t="n"/>
      <c r="K38" s="86" t="n"/>
      <c r="L38" s="87" t="n">
        <v>37021</v>
      </c>
      <c r="M38" s="87" t="n">
        <v>1345</v>
      </c>
      <c r="N38" s="87" t="n"/>
      <c r="O38" s="87" t="n">
        <v>301</v>
      </c>
      <c r="P38" s="87" t="n">
        <v>38667</v>
      </c>
      <c r="Q38" s="86" t="n"/>
      <c r="R38" s="87" t="n">
        <v>20120</v>
      </c>
      <c r="S38" s="87" t="n">
        <v>644</v>
      </c>
      <c r="T38" s="87" t="n"/>
      <c r="U38" s="87" t="n">
        <v>301</v>
      </c>
      <c r="V38" s="87" t="n">
        <v>21065</v>
      </c>
      <c r="W38" s="86" t="n"/>
      <c r="X38" s="87" t="n">
        <v>16901</v>
      </c>
      <c r="Y38" s="87" t="n">
        <v>701</v>
      </c>
      <c r="Z38" s="87" t="n"/>
      <c r="AA38" s="88" t="n">
        <v>17602</v>
      </c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6" t="n"/>
      <c r="AL38" s="87" t="n">
        <v>37007</v>
      </c>
      <c r="AM38" s="87" t="n">
        <v>1345</v>
      </c>
      <c r="AN38" s="87" t="n"/>
      <c r="AO38" s="87" t="n">
        <v>301</v>
      </c>
      <c r="AP38" s="88" t="n">
        <v>38653</v>
      </c>
    </row>
    <row r="39" ht="53" customHeight="1" s="93">
      <c r="A39" s="89" t="inlineStr">
        <is>
          <t>全国【其他类】商户数</t>
        </is>
      </c>
      <c r="B39" s="39" t="inlineStr">
        <is>
          <t>【教培行业】取消降费活动，转移至0.38%费率部分商户数</t>
        </is>
      </c>
      <c r="C39" s="90" t="n">
        <v>2048</v>
      </c>
      <c r="D39" s="50" t="n">
        <v>39017</v>
      </c>
      <c r="E39" s="52">
        <f>D39+C39</f>
        <v/>
      </c>
    </row>
    <row r="42">
      <c r="A42" s="91" t="n"/>
      <c r="B42" s="101" t="n"/>
    </row>
    <row r="44">
      <c r="A44" s="91" t="n"/>
    </row>
    <row r="45">
      <c r="A45" s="91" t="n"/>
      <c r="B45" s="101" t="n"/>
      <c r="E45" s="91" t="n"/>
    </row>
    <row r="47">
      <c r="A47" s="91" t="n"/>
      <c r="B47" s="101" t="n"/>
      <c r="E47" s="91" t="n"/>
    </row>
    <row r="49">
      <c r="A49" s="91" t="n"/>
      <c r="B49" s="101" t="n"/>
      <c r="E49" s="91" t="n"/>
    </row>
    <row r="51">
      <c r="A51" s="91" t="n"/>
      <c r="B51" s="101" t="n"/>
      <c r="E51" s="91" t="n"/>
    </row>
    <row r="53">
      <c r="A53" s="91" t="n"/>
      <c r="B53" s="101" t="n"/>
      <c r="E53" s="91" t="n"/>
    </row>
    <row r="55">
      <c r="A55" s="91" t="n"/>
      <c r="B55" s="101" t="n"/>
      <c r="E55" s="91" t="n"/>
    </row>
    <row r="57">
      <c r="A57" s="91" t="n"/>
      <c r="B57" s="101" t="n"/>
      <c r="E57" s="91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T156378</dc:creator>
  <dcterms:created xmlns:dcterms="http://purl.org/dc/terms/" xmlns:xsi="http://www.w3.org/2001/XMLSchema-instance" xsi:type="dcterms:W3CDTF">2026-02-25T05:16:46Z</dcterms:created>
  <dcterms:modified xmlns:dcterms="http://purl.org/dc/terms/" xmlns:xsi="http://www.w3.org/2001/XMLSchema-instance" xsi:type="dcterms:W3CDTF">2026-02-25T05:34:08Z</dcterms:modified>
  <cp:lastModifiedBy>T156378</cp:lastModifiedBy>
</cp:coreProperties>
</file>